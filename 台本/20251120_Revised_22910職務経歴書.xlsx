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031208\Desktop\"/>
    </mc:Choice>
  </mc:AlternateContent>
  <xr:revisionPtr revIDLastSave="0" documentId="13_ncr:1_{0807C2EE-5937-489F-BFD4-6B28DE4530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eerSheet" sheetId="30" r:id="rId1"/>
  </sheets>
  <definedNames>
    <definedName name="_xlnm.Print_Area" localSheetId="0">CareerSheet!$A$1:$BH$182</definedName>
    <definedName name="_xlnm.Print_Titles" localSheetId="0">CareerSheet!$21:$26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7" i="30" l="1"/>
  <c r="C166" i="30"/>
  <c r="I159" i="30" s="1"/>
  <c r="I135" i="30"/>
  <c r="I123" i="30"/>
  <c r="I111" i="30"/>
  <c r="I87" i="30"/>
  <c r="I99" i="30"/>
  <c r="I75" i="30"/>
  <c r="AF8" i="30"/>
  <c r="I63" i="30"/>
  <c r="I27" i="30"/>
  <c r="I39" i="30"/>
  <c r="I51" i="30"/>
</calcChain>
</file>

<file path=xl/sharedStrings.xml><?xml version="1.0" encoding="utf-8"?>
<sst xmlns="http://schemas.openxmlformats.org/spreadsheetml/2006/main" count="240" uniqueCount="86">
  <si>
    <t>期間</t>
    <rPh sb="0" eb="2">
      <t>キカン</t>
    </rPh>
    <phoneticPr fontId="1"/>
  </si>
  <si>
    <t>最寄駅</t>
    <rPh sb="0" eb="2">
      <t>モヨリ</t>
    </rPh>
    <rPh sb="2" eb="3">
      <t>エキ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</si>
  <si>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</si>
  <si>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</si>
  <si>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駅</t>
    <rPh sb="0" eb="1">
      <t>エキ</t>
    </rPh>
    <phoneticPr fontId="1"/>
  </si>
  <si>
    <t>備考</t>
    <rPh sb="0" eb="2">
      <t>ビコウ</t>
    </rPh>
    <phoneticPr fontId="1"/>
  </si>
  <si>
    <t>役割・職制</t>
    <rPh sb="0" eb="1">
      <t>エキ</t>
    </rPh>
    <rPh sb="1" eb="2">
      <t>ワリ</t>
    </rPh>
    <rPh sb="3" eb="4">
      <t>ショク</t>
    </rPh>
    <rPh sb="4" eb="5">
      <t>セイ</t>
    </rPh>
    <phoneticPr fontId="1"/>
  </si>
  <si>
    <t>規模・人数</t>
    <rPh sb="0" eb="1">
      <t>タダシ</t>
    </rPh>
    <rPh sb="1" eb="2">
      <t>ボ</t>
    </rPh>
    <rPh sb="3" eb="4">
      <t>ジン</t>
    </rPh>
    <rPh sb="4" eb="5">
      <t>カズ</t>
    </rPh>
    <phoneticPr fontId="1"/>
  </si>
  <si>
    <t>住所</t>
    <rPh sb="0" eb="1">
      <t>ジュウ</t>
    </rPh>
    <rPh sb="1" eb="2">
      <t>ショ</t>
    </rPh>
    <phoneticPr fontId="1"/>
  </si>
  <si>
    <t>学歴</t>
    <rPh sb="0" eb="1">
      <t>ガク</t>
    </rPh>
    <rPh sb="1" eb="2">
      <t>レキ</t>
    </rPh>
    <phoneticPr fontId="1"/>
  </si>
  <si>
    <t xml:space="preserve">資格・スキル </t>
    <rPh sb="0" eb="1">
      <t>シ</t>
    </rPh>
    <rPh sb="1" eb="2">
      <t>カク</t>
    </rPh>
    <phoneticPr fontId="1"/>
  </si>
  <si>
    <t>(ﾌﾘｶﾞﾅ)
氏名</t>
    <rPh sb="8" eb="9">
      <t>シ</t>
    </rPh>
    <rPh sb="9" eb="10">
      <t>メイ</t>
    </rPh>
    <phoneticPr fontId="1"/>
  </si>
  <si>
    <t>ヶ月</t>
    <rPh sb="1" eb="2">
      <t>ゲツ</t>
    </rPh>
    <phoneticPr fontId="1"/>
  </si>
  <si>
    <t>基本設計</t>
    <rPh sb="0" eb="2">
      <t>キホン</t>
    </rPh>
    <rPh sb="2" eb="4">
      <t>セッケイ</t>
    </rPh>
    <phoneticPr fontId="1"/>
  </si>
  <si>
    <t>導入</t>
    <rPh sb="0" eb="2">
      <t>ドウニュウ</t>
    </rPh>
    <phoneticPr fontId="1"/>
  </si>
  <si>
    <t>運用保守</t>
    <rPh sb="0" eb="2">
      <t>ウンヨウ</t>
    </rPh>
    <rPh sb="2" eb="4">
      <t>ホシュ</t>
    </rPh>
    <phoneticPr fontId="1"/>
  </si>
  <si>
    <t>その他</t>
    <rPh sb="2" eb="3">
      <t>タ</t>
    </rPh>
    <phoneticPr fontId="1"/>
  </si>
  <si>
    <t>年月
（昇順）</t>
    <rPh sb="0" eb="1">
      <t>トシ</t>
    </rPh>
    <rPh sb="1" eb="2">
      <t>ツキ</t>
    </rPh>
    <rPh sb="4" eb="5">
      <t>ノボル</t>
    </rPh>
    <rPh sb="5" eb="6">
      <t>ジュン</t>
    </rPh>
    <phoneticPr fontId="1"/>
  </si>
  <si>
    <t>ＯＳ／環境
フレームワーク
その他</t>
    <rPh sb="3" eb="4">
      <t>ワ</t>
    </rPh>
    <rPh sb="4" eb="5">
      <t>サカイ</t>
    </rPh>
    <rPh sb="16" eb="17">
      <t>タ</t>
    </rPh>
    <phoneticPr fontId="1"/>
  </si>
  <si>
    <t>フェーズ</t>
    <phoneticPr fontId="1"/>
  </si>
  <si>
    <t>詳細設計</t>
    <phoneticPr fontId="1"/>
  </si>
  <si>
    <t>製造</t>
    <phoneticPr fontId="1"/>
  </si>
  <si>
    <t>テスト</t>
    <phoneticPr fontId="1"/>
  </si>
  <si>
    <t>～</t>
    <phoneticPr fontId="1"/>
  </si>
  <si>
    <t>アピールポイント・アピールコメント</t>
    <phoneticPr fontId="1"/>
  </si>
  <si>
    <t>卒業</t>
  </si>
  <si>
    <t>要件定義</t>
    <rPh sb="0" eb="2">
      <t>ヨウケン</t>
    </rPh>
    <rPh sb="2" eb="4">
      <t>テイギ</t>
    </rPh>
    <phoneticPr fontId="1"/>
  </si>
  <si>
    <t>得意分野</t>
    <phoneticPr fontId="1"/>
  </si>
  <si>
    <t>線</t>
    <phoneticPr fontId="1"/>
  </si>
  <si>
    <t>業種・業界
プロジェクト名
担当作業内容</t>
    <phoneticPr fontId="1"/>
  </si>
  <si>
    <t>業界
年数</t>
    <rPh sb="0" eb="2">
      <t>ギョウカイ</t>
    </rPh>
    <rPh sb="3" eb="5">
      <t>ネンスウ</t>
    </rPh>
    <phoneticPr fontId="1"/>
  </si>
  <si>
    <t>Windows
Linux
Eclipse
VirtualBox</t>
    <phoneticPr fontId="1"/>
  </si>
  <si>
    <t>●</t>
  </si>
  <si>
    <t>K・K</t>
    <phoneticPr fontId="1"/>
  </si>
  <si>
    <t>男性</t>
  </si>
  <si>
    <t>某大学　コンピューター工学科</t>
    <rPh sb="0" eb="1">
      <t>ボウ</t>
    </rPh>
    <rPh sb="1" eb="3">
      <t>ダイガク</t>
    </rPh>
    <rPh sb="11" eb="14">
      <t>コウガクカ</t>
    </rPh>
    <phoneticPr fontId="1"/>
  </si>
  <si>
    <t>言語
ＤＢ
ツール</t>
    <phoneticPr fontId="1"/>
  </si>
  <si>
    <t>Windows
CentOS
Spring Boot
Spring MVC
MyBatis
Vue.js</t>
    <phoneticPr fontId="1"/>
  </si>
  <si>
    <t>Windows
Spring</t>
    <phoneticPr fontId="1"/>
  </si>
  <si>
    <t>Java
HTML
CSS
MySQL</t>
    <phoneticPr fontId="1"/>
  </si>
  <si>
    <t>Java
JavaScript
MySQL</t>
    <phoneticPr fontId="1"/>
  </si>
  <si>
    <t>Windows
Spring Boot
MyBatis
Vue.js</t>
    <phoneticPr fontId="1"/>
  </si>
  <si>
    <t>メンバー</t>
  </si>
  <si>
    <t>8人</t>
    <rPh sb="1" eb="2">
      <t>ニン</t>
    </rPh>
    <phoneticPr fontId="1"/>
  </si>
  <si>
    <t>Java
JavaScript
HTML
CSS
MySQL</t>
    <phoneticPr fontId="1"/>
  </si>
  <si>
    <t>Windows
Spring Boot
MyBatis
Vue.js
Element Plus</t>
    <phoneticPr fontId="1"/>
  </si>
  <si>
    <t>3人</t>
    <rPh sb="1" eb="2">
      <t>ニン</t>
    </rPh>
    <phoneticPr fontId="1"/>
  </si>
  <si>
    <t>1年</t>
    <rPh sb="1" eb="2">
      <t>ネン</t>
    </rPh>
    <phoneticPr fontId="1"/>
  </si>
  <si>
    <t>※期間には重複箇所がございます。</t>
    <rPh sb="1" eb="3">
      <t>キカン</t>
    </rPh>
    <rPh sb="5" eb="9">
      <t>ジュウフクカショ</t>
    </rPh>
    <phoneticPr fontId="1"/>
  </si>
  <si>
    <t>C言語
PHP
Java
Python
JavaScript
HTML
CSS
MySQL</t>
    <rPh sb="1" eb="3">
      <t>ゲンゴ</t>
    </rPh>
    <phoneticPr fontId="1"/>
  </si>
  <si>
    <t>Java
SQL
PostgreSQL
Tera Term
WinSCP</t>
    <phoneticPr fontId="1"/>
  </si>
  <si>
    <t>Java
MySQL</t>
    <phoneticPr fontId="1"/>
  </si>
  <si>
    <t>Windows
Spring Boot
Spring MVC
MyBatis
Redis</t>
    <phoneticPr fontId="1"/>
  </si>
  <si>
    <t>Windows
Spring Boot
Spring Cloud
MyBatis-Plus
Redis
Nacos
Elasticsearch</t>
    <phoneticPr fontId="1"/>
  </si>
  <si>
    <t>Java
JavaScript</t>
    <phoneticPr fontId="1"/>
  </si>
  <si>
    <t>Windows
CentOS
jQuery</t>
    <phoneticPr fontId="1"/>
  </si>
  <si>
    <t>神奈川新町</t>
    <rPh sb="0" eb="5">
      <t>カナガワシンマチ</t>
    </rPh>
    <phoneticPr fontId="1"/>
  </si>
  <si>
    <t>京浜急行</t>
    <phoneticPr fontId="1"/>
  </si>
  <si>
    <t>神奈川県　横浜市</t>
    <rPh sb="0" eb="4">
      <t>カナガワケン</t>
    </rPh>
    <rPh sb="5" eb="8">
      <t>ヨコハマシ</t>
    </rPh>
    <phoneticPr fontId="1"/>
  </si>
  <si>
    <t>Netty
Linux
Spring Boot
Vue３
MyBatis
Electron
Alibaba Cloud</t>
    <phoneticPr fontId="1"/>
  </si>
  <si>
    <t xml:space="preserve">Java
MySQL
SQLite
HTML
CSS
JavaScript
</t>
    <phoneticPr fontId="1"/>
  </si>
  <si>
    <t>No.</t>
    <phoneticPr fontId="1"/>
  </si>
  <si>
    <t>Java, MySQL, JavaScript</t>
    <phoneticPr fontId="1"/>
  </si>
  <si>
    <t>Javaを使用したWebアプリ開発の実務経験が1年以上あります。
バックエンドの開発には、特に自信があります。
現在はGo言語のスキル強化にも取り組んでおり、技術向上意欲が高い点が強みです。
これらの経験と熱意を活かし、プロジェクトに貢献したいと考えております。</t>
    <rPh sb="18" eb="20">
      <t>ジツム</t>
    </rPh>
    <rPh sb="24" eb="25">
      <t>ネン</t>
    </rPh>
    <rPh sb="25" eb="27">
      <t>イジョウ</t>
    </rPh>
    <rPh sb="45" eb="46">
      <t>トク</t>
    </rPh>
    <phoneticPr fontId="1"/>
  </si>
  <si>
    <t>5人</t>
    <rPh sb="1" eb="2">
      <t>ニン</t>
    </rPh>
    <phoneticPr fontId="1"/>
  </si>
  <si>
    <t>SE</t>
  </si>
  <si>
    <t xml:space="preserve">Java
JavaScript
OracleDB
</t>
    <phoneticPr fontId="1"/>
  </si>
  <si>
    <t>Spring Boot
React</t>
    <phoneticPr fontId="1"/>
  </si>
  <si>
    <t xml:space="preserve">Java
</t>
    <phoneticPr fontId="1"/>
  </si>
  <si>
    <t>Spring AI
LangChain4j</t>
    <phoneticPr fontId="1"/>
  </si>
  <si>
    <t>paiza
Java
Go言語</t>
    <rPh sb="13" eb="15">
      <t>ゲンゴ</t>
    </rPh>
    <phoneticPr fontId="1"/>
  </si>
  <si>
    <r>
      <t xml:space="preserve">●チームプロジェクト
</t>
    </r>
    <r>
      <rPr>
        <sz val="10"/>
        <color theme="1"/>
        <rFont val="ＭＳ Ｐゴシック"/>
        <family val="3"/>
        <charset val="128"/>
      </rPr>
      <t xml:space="preserve"> ・ホテルマネジメントシステム開発
　- チェックイン/チェックアウト機能
  - 顧客情報/客室情報管理機能
　- システム構想、プロジェクト計画作成
　- 要件定義、基本設計
　- ER図作成、画面構成設計 </t>
    </r>
    <rPh sb="26" eb="28">
      <t>カイハツ</t>
    </rPh>
    <rPh sb="74" eb="76">
      <t>コウソウ</t>
    </rPh>
    <rPh sb="83" eb="87">
      <t>ケイカクサクセイ</t>
    </rPh>
    <rPh sb="91" eb="95">
      <t>ヨウケンテイギ</t>
    </rPh>
    <rPh sb="96" eb="100">
      <t>キホンセッケイ</t>
    </rPh>
    <phoneticPr fontId="1"/>
  </si>
  <si>
    <r>
      <t xml:space="preserve">●自己学習
 </t>
    </r>
    <r>
      <rPr>
        <sz val="10"/>
        <color theme="1"/>
        <rFont val="ＭＳ Ｐゴシック"/>
        <family val="3"/>
        <charset val="128"/>
      </rPr>
      <t>・paizaによるプログラミングトレーニング
  　Java：Sランク
  　Go言語：Aランク
 ・日本語学習</t>
    </r>
    <phoneticPr fontId="1"/>
  </si>
  <si>
    <r>
      <t>技術者職務経歴書</t>
    </r>
    <r>
      <rPr>
        <sz val="20"/>
        <color theme="1"/>
        <rFont val="HG明朝E"/>
        <family val="1"/>
        <charset val="128"/>
      </rPr>
      <t xml:space="preserve">
</t>
    </r>
    <r>
      <rPr>
        <sz val="14"/>
        <color theme="1"/>
        <rFont val="HG明朝E"/>
        <family val="1"/>
        <charset val="128"/>
      </rPr>
      <t>Ｃａｒｅｅｒ Ｓｈｅｅｔ</t>
    </r>
    <rPh sb="0" eb="3">
      <t>ギジュツシャ</t>
    </rPh>
    <phoneticPr fontId="1"/>
  </si>
  <si>
    <r>
      <t>キャル株式会社</t>
    </r>
    <r>
      <rPr>
        <sz val="11"/>
        <color theme="1"/>
        <rFont val="ＭＳ Ｐゴシック"/>
        <family val="3"/>
        <charset val="128"/>
        <scheme val="minor"/>
      </rPr>
      <t xml:space="preserve">
</t>
    </r>
    <phoneticPr fontId="1"/>
  </si>
  <si>
    <t>・日本語能力試験　N1　(2023年/7月取得）
・paiza：Java/Sランク/Go言語　Aランク</t>
    <rPh sb="1" eb="8">
      <t>ニホンゴノウリョクシケン</t>
    </rPh>
    <rPh sb="17" eb="18">
      <t>ネン</t>
    </rPh>
    <rPh sb="20" eb="21">
      <t>ガツ</t>
    </rPh>
    <rPh sb="21" eb="23">
      <t>シュトク</t>
    </rPh>
    <phoneticPr fontId="1"/>
  </si>
  <si>
    <r>
      <rPr>
        <b/>
        <sz val="10"/>
        <color theme="1"/>
        <rFont val="ＭＳ Ｐゴシック"/>
        <family val="3"/>
        <charset val="128"/>
      </rPr>
      <t>●大学履修科目/中国</t>
    </r>
    <r>
      <rPr>
        <sz val="10"/>
        <color theme="1"/>
        <rFont val="ＭＳ Ｐゴシック"/>
        <family val="3"/>
        <charset val="128"/>
      </rPr>
      <t xml:space="preserve">
 ・Webアプリケーション開発 
 ・データベース基礎
 ・システム分析と設計                           
 ・アルゴリズム
 ・テスト（単体/結合テスト基本概念）
●交換留学/日本・新潟県(2022.9-2023.7)
●資格：日本語能力試験 JLPT N1を取得</t>
    </r>
    <phoneticPr fontId="1"/>
  </si>
  <si>
    <r>
      <rPr>
        <b/>
        <sz val="10"/>
        <color theme="1"/>
        <rFont val="ＭＳ Ｐゴシック"/>
        <family val="3"/>
        <charset val="128"/>
      </rPr>
      <t>●個人プロジェクト</t>
    </r>
    <r>
      <rPr>
        <sz val="10"/>
        <color theme="1"/>
        <rFont val="ＭＳ Ｐゴシック"/>
        <family val="3"/>
        <charset val="128"/>
      </rPr>
      <t xml:space="preserve">
 ・タスク管理システム開発
　- タスク作成機能
　- タスク編集/削除/一覧表示機能
　- タスク進捗管理機能
　- タスク期限通知機能</t>
    </r>
    <rPh sb="21" eb="23">
      <t>カイハツ</t>
    </rPh>
    <rPh sb="49" eb="51">
      <t>ヒョウジ</t>
    </rPh>
    <phoneticPr fontId="1"/>
  </si>
  <si>
    <r>
      <rPr>
        <b/>
        <sz val="10"/>
        <color theme="1"/>
        <rFont val="ＭＳ Ｐゴシック"/>
        <family val="3"/>
        <charset val="128"/>
      </rPr>
      <t>●個人プロジェクト（卒業制作）</t>
    </r>
    <r>
      <rPr>
        <sz val="10"/>
        <color theme="1"/>
        <rFont val="ＭＳ Ｐゴシック"/>
        <family val="3"/>
        <charset val="128"/>
      </rPr>
      <t xml:space="preserve">
 ・図書管理システム開発
　- 貸出/返却基本機能
　- 在庫管理機能
　- ユーザー登録機能
　- 貸出スケジュール管理機能</t>
    </r>
    <rPh sb="26" eb="28">
      <t>カイハツ</t>
    </rPh>
    <rPh sb="75" eb="77">
      <t>カンリ</t>
    </rPh>
    <phoneticPr fontId="1"/>
  </si>
  <si>
    <r>
      <t xml:space="preserve">●ITシステム制作会社就業/中国
</t>
    </r>
    <r>
      <rPr>
        <sz val="10"/>
        <color theme="1"/>
        <rFont val="ＭＳ Ｐゴシック"/>
        <family val="3"/>
        <charset val="128"/>
      </rPr>
      <t xml:space="preserve"> ・</t>
    </r>
    <r>
      <rPr>
        <b/>
        <sz val="10"/>
        <color theme="1"/>
        <rFont val="ＭＳ Ｐゴシック"/>
        <family val="3"/>
        <charset val="128"/>
      </rPr>
      <t>飲食店向け注文管理システム開発</t>
    </r>
    <r>
      <rPr>
        <sz val="10"/>
        <color theme="1"/>
        <rFont val="ＭＳ Ｐゴシック"/>
        <family val="3"/>
        <charset val="128"/>
      </rPr>
      <t xml:space="preserve">
　- バックエンドアプリ構造設計(一部)
　- データ管理機能（店側CRUD操作）
　- 注文データ表示/分析機能
　- 顧客側注文/支払機能
　- DBアクセス負荷軽減 (Redis活用)
　- バグ修正</t>
    </r>
    <rPh sb="19" eb="22">
      <t>インショクテン</t>
    </rPh>
    <rPh sb="32" eb="34">
      <t>カイハツ</t>
    </rPh>
    <rPh sb="62" eb="64">
      <t>カンリ</t>
    </rPh>
    <rPh sb="64" eb="66">
      <t>キノウ</t>
    </rPh>
    <rPh sb="67" eb="68">
      <t>ミセ</t>
    </rPh>
    <rPh sb="68" eb="69">
      <t>ガワ</t>
    </rPh>
    <rPh sb="73" eb="75">
      <t>ソウサ</t>
    </rPh>
    <rPh sb="85" eb="87">
      <t>ヒョウジ</t>
    </rPh>
    <rPh sb="88" eb="90">
      <t>ブンセキ</t>
    </rPh>
    <rPh sb="90" eb="92">
      <t>キノウ</t>
    </rPh>
    <rPh sb="98" eb="99">
      <t>ガワ</t>
    </rPh>
    <rPh sb="127" eb="129">
      <t>カツヨウ</t>
    </rPh>
    <phoneticPr fontId="1"/>
  </si>
  <si>
    <r>
      <t xml:space="preserve"> ・住宅管理システム開発
　</t>
    </r>
    <r>
      <rPr>
        <sz val="10"/>
        <color theme="1"/>
        <rFont val="ＭＳ Ｐゴシック"/>
        <family val="3"/>
        <charset val="128"/>
      </rPr>
      <t>- ユーザー登録機能
　- データベース連携
　- 駐車スペース管理機能
　- 水道・電気料金オンライン決済機能
　- シングルページデザイン
　- フロントエンドUI/UX作成
　- ウェブ画面制御機能</t>
    </r>
    <rPh sb="10" eb="12">
      <t>カイハツ</t>
    </rPh>
    <rPh sb="110" eb="112">
      <t>ガメン</t>
    </rPh>
    <rPh sb="112" eb="114">
      <t>セイギョ</t>
    </rPh>
    <phoneticPr fontId="1"/>
  </si>
  <si>
    <r>
      <t xml:space="preserve"> ・大学向けニュースアプリ開発
</t>
    </r>
    <r>
      <rPr>
        <sz val="10"/>
        <color theme="1"/>
        <rFont val="ＭＳ Ｐゴシック"/>
        <family val="3"/>
        <charset val="128"/>
      </rPr>
      <t>　- バックエンド設計/構築</t>
    </r>
    <r>
      <rPr>
        <b/>
        <sz val="10"/>
        <color theme="1"/>
        <rFont val="ＭＳ Ｐゴシック"/>
        <family val="3"/>
        <charset val="128"/>
      </rPr>
      <t xml:space="preserve">
</t>
    </r>
    <r>
      <rPr>
        <sz val="10"/>
        <color theme="1"/>
        <rFont val="ＭＳ Ｐゴシック"/>
        <family val="3"/>
        <charset val="128"/>
      </rPr>
      <t>　- ユーザーログイン機能
　- ニュース記事検索/閲覧機能
　- 記事審査/リスト表示機能(管理者用)</t>
    </r>
    <rPh sb="2" eb="4">
      <t>ダイガク</t>
    </rPh>
    <rPh sb="4" eb="5">
      <t>ム</t>
    </rPh>
    <rPh sb="13" eb="15">
      <t>カイハツ</t>
    </rPh>
    <rPh sb="25" eb="27">
      <t>セッケイ</t>
    </rPh>
    <rPh sb="28" eb="30">
      <t>コウチク</t>
    </rPh>
    <rPh sb="42" eb="44">
      <t>キノウ</t>
    </rPh>
    <rPh sb="52" eb="54">
      <t>キジ</t>
    </rPh>
    <rPh sb="54" eb="56">
      <t>ケンサク</t>
    </rPh>
    <rPh sb="57" eb="59">
      <t>エツラン</t>
    </rPh>
    <rPh sb="59" eb="61">
      <t>キノウ</t>
    </rPh>
    <rPh sb="65" eb="67">
      <t>キジ</t>
    </rPh>
    <rPh sb="67" eb="69">
      <t>シンサ</t>
    </rPh>
    <rPh sb="73" eb="75">
      <t>ヒョウジ</t>
    </rPh>
    <rPh sb="75" eb="77">
      <t>キノウ</t>
    </rPh>
    <rPh sb="81" eb="82">
      <t>ヨウ</t>
    </rPh>
    <phoneticPr fontId="1"/>
  </si>
  <si>
    <r>
      <t xml:space="preserve"> ・商品データ分析システム運用保守
</t>
    </r>
    <r>
      <rPr>
        <sz val="10"/>
        <color theme="1"/>
        <rFont val="ＭＳ Ｐゴシック"/>
        <family val="3"/>
        <charset val="128"/>
      </rPr>
      <t>　- 既存システム改修
　- パフォーマンス最適化
　- バグ修正
　- UI改善</t>
    </r>
    <rPh sb="13" eb="15">
      <t>ウンヨウ</t>
    </rPh>
    <rPh sb="15" eb="17">
      <t>ホシュ</t>
    </rPh>
    <rPh sb="27" eb="29">
      <t>カイシュウ</t>
    </rPh>
    <rPh sb="57" eb="59">
      <t>カイゼン</t>
    </rPh>
    <phoneticPr fontId="1"/>
  </si>
  <si>
    <r>
      <t xml:space="preserve">●自己研鑽
</t>
    </r>
    <r>
      <rPr>
        <sz val="10"/>
        <color theme="1"/>
        <rFont val="ＭＳ Ｐゴシック"/>
        <family val="3"/>
        <charset val="128"/>
      </rPr>
      <t xml:space="preserve"> ・Java開発技術の強化
   - Spring AI, LangChain4j
 ・ビジネス日本語</t>
    </r>
    <rPh sb="1" eb="5">
      <t>ジコケンサン</t>
    </rPh>
    <rPh sb="12" eb="16">
      <t>カイハツギジュツ</t>
    </rPh>
    <rPh sb="17" eb="19">
      <t>キョウカ</t>
    </rPh>
    <rPh sb="54" eb="57">
      <t>ニホンゴ</t>
    </rPh>
    <phoneticPr fontId="1"/>
  </si>
  <si>
    <r>
      <t xml:space="preserve">●社内研修
</t>
    </r>
    <r>
      <rPr>
        <sz val="10"/>
        <color theme="1"/>
        <rFont val="ＭＳ Ｐゴシック"/>
        <family val="3"/>
        <charset val="128"/>
      </rPr>
      <t xml:space="preserve"> ・ビジネス日本語  ・IT概念講習
 ・ツール導入
</t>
    </r>
    <r>
      <rPr>
        <sz val="8"/>
        <color theme="1"/>
        <rFont val="ＭＳ Ｐゴシック"/>
        <family val="3"/>
        <charset val="128"/>
      </rPr>
      <t>　（Eclipse/PostgreSQL/VirtualBox/Oracle Linux 9）</t>
    </r>
    <r>
      <rPr>
        <sz val="9"/>
        <color theme="1"/>
        <rFont val="ＭＳ Ｐゴシック"/>
        <family val="3"/>
        <charset val="128"/>
      </rPr>
      <t xml:space="preserve">
</t>
    </r>
    <r>
      <rPr>
        <sz val="10"/>
        <color theme="1"/>
        <rFont val="ＭＳ Ｐゴシック"/>
        <family val="3"/>
        <charset val="128"/>
      </rPr>
      <t xml:space="preserve"> ・データベース基礎
　（基本的なSQL&amp;テーブル定義書作成）
 ・Java基礎研修
　- オリジナル作品制作
　- マスタメンテナンス（物理/論理削除）
 ・設計書変更に伴うプログラム改修
 ・単体テスト（エビデンス作成）
 ・Linux基礎研修
　- 基本Linuxコマンド習得
  - シェルスクリプト作成</t>
    </r>
    <rPh sb="89" eb="91">
      <t>キソ</t>
    </rPh>
    <rPh sb="132" eb="136">
      <t>サクヒンセイサク</t>
    </rPh>
    <rPh sb="167" eb="168">
      <t>トモナ</t>
    </rPh>
    <rPh sb="174" eb="176">
      <t>カイシュウ</t>
    </rPh>
    <rPh sb="201" eb="205">
      <t>キソケンシュウ</t>
    </rPh>
    <rPh sb="220" eb="222">
      <t>シュウトク</t>
    </rPh>
    <phoneticPr fontId="1"/>
  </si>
  <si>
    <r>
      <t xml:space="preserve">●個人プロジェクト
</t>
    </r>
    <r>
      <rPr>
        <sz val="10"/>
        <color theme="1"/>
        <rFont val="ＭＳ Ｐゴシック"/>
        <family val="3"/>
        <charset val="128"/>
      </rPr>
      <t xml:space="preserve"> ・模擬LINE/SNSアプリケーション開発
　- 個人チャット（1対1)送信機能
　- 同報（1対多)送信機能
　- ファイル送信機能
　- 友達・グループ追加機能</t>
    </r>
    <rPh sb="1" eb="3">
      <t>コジン</t>
    </rPh>
    <rPh sb="12" eb="14">
      <t>モギ</t>
    </rPh>
    <rPh sb="30" eb="32">
      <t>カイハツ</t>
    </rPh>
    <rPh sb="36" eb="38">
      <t>コジン</t>
    </rPh>
    <rPh sb="44" eb="45">
      <t>タイ</t>
    </rPh>
    <rPh sb="47" eb="51">
      <t>ソウシンキノウ</t>
    </rPh>
    <rPh sb="55" eb="57">
      <t>ドウホウ</t>
    </rPh>
    <rPh sb="59" eb="60">
      <t>タイ</t>
    </rPh>
    <rPh sb="60" eb="61">
      <t>タ</t>
    </rPh>
    <rPh sb="62" eb="64">
      <t>ソウシン</t>
    </rPh>
    <rPh sb="64" eb="66">
      <t>キノウ</t>
    </rPh>
    <rPh sb="74" eb="76">
      <t>ソウシン</t>
    </rPh>
    <rPh sb="76" eb="78">
      <t>キノウ</t>
    </rPh>
    <rPh sb="82" eb="84">
      <t>トモダチ</t>
    </rPh>
    <rPh sb="89" eb="91">
      <t>ツイカ</t>
    </rPh>
    <rPh sb="91" eb="93">
      <t>キノウ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</si>
</sst>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;@"/>
    <numFmt numFmtId="177" formatCode="0&quot;年&quot;"/>
    <numFmt numFmtId="178" formatCode="0&quot;歳&quot;"/>
    <numFmt numFmtId="179" formatCode="#,##0;\-#,##0;&quot;-&quot;"/>
  </numFmts>
  <fonts count="2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b/>
      <sz val="20"/>
      <color indexed="8"/>
      <name val="ＭＳ Ｐゴシック"/>
      <family val="3"/>
      <charset val="128"/>
    </font>
    <font>
      <sz val="16"/>
      <color indexed="8"/>
      <name val="HG明朝E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color theme="0" tint="-0.34998626667073579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20"/>
      <color theme="1"/>
      <name val="ＭＳ Ｐゴシック"/>
      <family val="3"/>
      <charset val="128"/>
    </font>
    <font>
      <sz val="16"/>
      <color theme="1"/>
      <name val="HG明朝E"/>
      <family val="1"/>
      <charset val="128"/>
    </font>
    <font>
      <sz val="20"/>
      <color theme="1"/>
      <name val="HG明朝E"/>
      <family val="1"/>
      <charset val="128"/>
    </font>
    <font>
      <sz val="14"/>
      <color theme="1"/>
      <name val="HG明朝E"/>
      <family val="1"/>
      <charset val="128"/>
    </font>
    <font>
      <b/>
      <sz val="12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sz val="9"/>
      <color theme="1"/>
      <name val="ＭＳ Ｐ明朝"/>
      <family val="1"/>
      <charset val="128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14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0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dashed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hair">
        <color indexed="64"/>
      </right>
      <top style="dashed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ashed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</borders>
  <cellStyleXfs count="4">
    <xf numFmtId="0" fontId="0" fillId="0" borderId="0">
      <alignment vertical="center"/>
    </xf>
    <xf numFmtId="179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</cellStyleXfs>
  <cellXfs count="28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justifyLastLine="1"/>
    </xf>
    <xf numFmtId="0" fontId="2" fillId="0" borderId="0" xfId="0" applyFont="1">
      <alignment vertical="center"/>
    </xf>
    <xf numFmtId="0" fontId="4" fillId="0" borderId="0" xfId="0" applyFont="1" applyAlignment="1"/>
    <xf numFmtId="14" fontId="7" fillId="3" borderId="0" xfId="0" applyNumberFormat="1" applyFont="1" applyFill="1">
      <alignment vertical="center"/>
    </xf>
    <xf numFmtId="0" fontId="10" fillId="0" borderId="0" xfId="0" applyFont="1" applyAlignment="1"/>
    <xf numFmtId="0" fontId="10" fillId="0" borderId="0" xfId="0" applyFont="1">
      <alignment vertical="center"/>
    </xf>
    <xf numFmtId="0" fontId="15" fillId="0" borderId="3" xfId="0" applyFont="1" applyBorder="1">
      <alignment vertical="center"/>
    </xf>
    <xf numFmtId="14" fontId="0" fillId="0" borderId="0" xfId="0" applyNumberFormat="1">
      <alignment vertical="center"/>
    </xf>
    <xf numFmtId="177" fontId="21" fillId="0" borderId="0" xfId="0" applyNumberFormat="1" applyFont="1">
      <alignment vertical="center"/>
    </xf>
    <xf numFmtId="0" fontId="22" fillId="0" borderId="0" xfId="0" applyFont="1">
      <alignment vertical="center"/>
    </xf>
    <xf numFmtId="0" fontId="19" fillId="0" borderId="41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3" fillId="0" borderId="27" xfId="0" applyFont="1" applyBorder="1" applyAlignment="1" applyProtection="1">
      <alignment horizontal="center" vertical="center"/>
      <protection locked="0"/>
    </xf>
    <xf numFmtId="0" fontId="23" fillId="0" borderId="28" xfId="0" applyFont="1" applyBorder="1" applyAlignment="1" applyProtection="1">
      <alignment horizontal="center" vertical="center"/>
      <protection locked="0"/>
    </xf>
    <xf numFmtId="0" fontId="23" fillId="0" borderId="29" xfId="0" applyFont="1" applyBorder="1" applyAlignment="1" applyProtection="1">
      <alignment horizontal="center" vertical="center"/>
      <protection locked="0"/>
    </xf>
    <xf numFmtId="0" fontId="23" fillId="0" borderId="30" xfId="0" applyFont="1" applyBorder="1" applyAlignment="1" applyProtection="1">
      <alignment horizontal="center" vertical="center"/>
      <protection locked="0"/>
    </xf>
    <xf numFmtId="0" fontId="20" fillId="0" borderId="31" xfId="0" applyFont="1" applyBorder="1" applyAlignment="1">
      <alignment horizontal="center" vertical="distributed" textRotation="255"/>
    </xf>
    <xf numFmtId="0" fontId="20" fillId="0" borderId="32" xfId="0" applyFont="1" applyBorder="1" applyAlignment="1">
      <alignment horizontal="center" vertical="distributed" textRotation="255"/>
    </xf>
    <xf numFmtId="0" fontId="20" fillId="0" borderId="33" xfId="0" applyFont="1" applyBorder="1" applyAlignment="1">
      <alignment horizontal="center" vertical="distributed" textRotation="255"/>
    </xf>
    <xf numFmtId="0" fontId="20" fillId="0" borderId="34" xfId="0" applyFont="1" applyBorder="1" applyAlignment="1">
      <alignment horizontal="center" vertical="distributed" textRotation="255"/>
    </xf>
    <xf numFmtId="0" fontId="20" fillId="0" borderId="27" xfId="0" applyFont="1" applyBorder="1" applyAlignment="1">
      <alignment horizontal="center" vertical="distributed" textRotation="255"/>
    </xf>
    <xf numFmtId="0" fontId="20" fillId="0" borderId="35" xfId="0" applyFont="1" applyBorder="1" applyAlignment="1">
      <alignment horizontal="center" vertical="distributed" textRotation="255"/>
    </xf>
    <xf numFmtId="0" fontId="20" fillId="0" borderId="36" xfId="0" applyFont="1" applyBorder="1" applyAlignment="1">
      <alignment horizontal="center" vertical="distributed" textRotation="255"/>
    </xf>
    <xf numFmtId="0" fontId="20" fillId="0" borderId="29" xfId="0" applyFont="1" applyBorder="1" applyAlignment="1">
      <alignment horizontal="center" vertical="distributed" textRotation="255"/>
    </xf>
    <xf numFmtId="0" fontId="20" fillId="0" borderId="37" xfId="0" applyFont="1" applyBorder="1" applyAlignment="1">
      <alignment horizontal="center" vertical="distributed" textRotation="255"/>
    </xf>
    <xf numFmtId="176" fontId="9" fillId="0" borderId="14" xfId="0" applyNumberFormat="1" applyFont="1" applyBorder="1" applyAlignment="1" applyProtection="1">
      <alignment horizontal="center" vertical="center" shrinkToFit="1"/>
      <protection locked="0"/>
    </xf>
    <xf numFmtId="176" fontId="9" fillId="0" borderId="0" xfId="0" applyNumberFormat="1" applyFont="1" applyAlignment="1" applyProtection="1">
      <alignment horizontal="center" vertical="center" shrinkToFit="1"/>
      <protection locked="0"/>
    </xf>
    <xf numFmtId="176" fontId="9" fillId="0" borderId="15" xfId="0" applyNumberFormat="1" applyFont="1" applyBorder="1" applyAlignment="1" applyProtection="1">
      <alignment horizontal="center" vertical="center" shrinkToFit="1"/>
      <protection locked="0"/>
    </xf>
    <xf numFmtId="0" fontId="18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8" fillId="0" borderId="40" xfId="0" applyFont="1" applyBorder="1" applyAlignment="1" applyProtection="1">
      <alignment vertical="center" wrapText="1"/>
      <protection locked="0"/>
    </xf>
    <xf numFmtId="0" fontId="9" fillId="0" borderId="40" xfId="0" applyFont="1" applyBorder="1" applyAlignment="1" applyProtection="1">
      <alignment vertical="center" wrapText="1"/>
      <protection locked="0"/>
    </xf>
    <xf numFmtId="0" fontId="9" fillId="0" borderId="5" xfId="0" applyFont="1" applyBorder="1" applyAlignment="1" applyProtection="1">
      <alignment vertical="center" wrapText="1"/>
      <protection locked="0"/>
    </xf>
    <xf numFmtId="0" fontId="9" fillId="0" borderId="41" xfId="0" applyFont="1" applyBorder="1" applyAlignment="1" applyProtection="1">
      <alignment vertical="center" wrapText="1"/>
      <protection locked="0"/>
    </xf>
    <xf numFmtId="0" fontId="23" fillId="0" borderId="32" xfId="0" applyFont="1" applyBorder="1" applyAlignment="1" applyProtection="1">
      <alignment horizontal="center" vertical="center"/>
      <protection locked="0"/>
    </xf>
    <xf numFmtId="0" fontId="23" fillId="0" borderId="38" xfId="0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176" fontId="9" fillId="0" borderId="42" xfId="0" applyNumberFormat="1" applyFont="1" applyBorder="1" applyAlignment="1" applyProtection="1">
      <alignment horizontal="center" vertical="center" shrinkToFit="1"/>
      <protection locked="0"/>
    </xf>
    <xf numFmtId="176" fontId="9" fillId="0" borderId="43" xfId="0" applyNumberFormat="1" applyFont="1" applyBorder="1" applyAlignment="1" applyProtection="1">
      <alignment horizontal="center" vertical="center" shrinkToFit="1"/>
      <protection locked="0"/>
    </xf>
    <xf numFmtId="176" fontId="9" fillId="0" borderId="44" xfId="0" applyNumberFormat="1" applyFont="1" applyBorder="1" applyAlignment="1" applyProtection="1">
      <alignment horizontal="center" vertical="center" shrinkToFit="1"/>
      <protection locked="0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22" fillId="0" borderId="18" xfId="0" applyFont="1" applyBorder="1" applyAlignment="1" applyProtection="1">
      <alignment horizontal="left" vertical="center" shrinkToFit="1"/>
      <protection locked="0"/>
    </xf>
    <xf numFmtId="0" fontId="22" fillId="0" borderId="19" xfId="0" applyFont="1" applyBorder="1" applyAlignment="1" applyProtection="1">
      <alignment horizontal="left" vertical="center" shrinkToFit="1"/>
      <protection locked="0"/>
    </xf>
    <xf numFmtId="0" fontId="22" fillId="0" borderId="20" xfId="0" applyFont="1" applyBorder="1" applyAlignment="1" applyProtection="1">
      <alignment horizontal="left" vertical="center" shrinkToFit="1"/>
      <protection locked="0"/>
    </xf>
    <xf numFmtId="0" fontId="22" fillId="0" borderId="21" xfId="0" applyFont="1" applyBorder="1" applyAlignment="1" applyProtection="1">
      <alignment horizontal="left" vertical="center" shrinkToFit="1"/>
      <protection locked="0"/>
    </xf>
    <xf numFmtId="0" fontId="22" fillId="0" borderId="22" xfId="0" applyFont="1" applyBorder="1" applyAlignment="1" applyProtection="1">
      <alignment horizontal="left" vertical="center" shrinkToFit="1"/>
      <protection locked="0"/>
    </xf>
    <xf numFmtId="0" fontId="22" fillId="0" borderId="23" xfId="0" applyFont="1" applyBorder="1" applyAlignment="1" applyProtection="1">
      <alignment horizontal="left" vertical="center" shrinkToFit="1"/>
      <protection locked="0"/>
    </xf>
    <xf numFmtId="0" fontId="22" fillId="0" borderId="24" xfId="0" applyFont="1" applyBorder="1" applyAlignment="1" applyProtection="1">
      <alignment horizontal="left" vertical="center" shrinkToFit="1"/>
      <protection locked="0"/>
    </xf>
    <xf numFmtId="0" fontId="22" fillId="0" borderId="25" xfId="0" applyFont="1" applyBorder="1" applyAlignment="1" applyProtection="1">
      <alignment horizontal="left" vertical="center" shrinkToFit="1"/>
      <protection locked="0"/>
    </xf>
    <xf numFmtId="0" fontId="22" fillId="0" borderId="26" xfId="0" applyFont="1" applyBorder="1" applyAlignment="1" applyProtection="1">
      <alignment horizontal="left" vertical="center" shrinkToFit="1"/>
      <protection locked="0"/>
    </xf>
    <xf numFmtId="0" fontId="23" fillId="0" borderId="84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vertical="center" wrapText="1"/>
      <protection locked="0"/>
    </xf>
    <xf numFmtId="14" fontId="0" fillId="4" borderId="4" xfId="0" applyNumberForma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distributed" vertical="center" wrapText="1" justifyLastLine="1"/>
    </xf>
    <xf numFmtId="0" fontId="20" fillId="2" borderId="5" xfId="0" applyFont="1" applyFill="1" applyBorder="1" applyAlignment="1">
      <alignment horizontal="distributed" vertical="center" justifyLastLine="1"/>
    </xf>
    <xf numFmtId="0" fontId="20" fillId="2" borderId="6" xfId="0" applyFont="1" applyFill="1" applyBorder="1" applyAlignment="1">
      <alignment horizontal="distributed" vertical="center" justifyLastLine="1"/>
    </xf>
    <xf numFmtId="0" fontId="20" fillId="2" borderId="7" xfId="0" applyFont="1" applyFill="1" applyBorder="1" applyAlignment="1">
      <alignment horizontal="distributed" vertical="center" justifyLastLine="1"/>
    </xf>
    <xf numFmtId="177" fontId="18" fillId="0" borderId="8" xfId="0" applyNumberFormat="1" applyFont="1" applyBorder="1" applyAlignment="1" applyProtection="1">
      <alignment horizontal="center" vertical="center"/>
      <protection locked="0"/>
    </xf>
    <xf numFmtId="177" fontId="18" fillId="0" borderId="9" xfId="0" applyNumberFormat="1" applyFont="1" applyBorder="1" applyAlignment="1" applyProtection="1">
      <alignment horizontal="center" vertical="center"/>
      <protection locked="0"/>
    </xf>
    <xf numFmtId="177" fontId="18" fillId="0" borderId="0" xfId="0" applyNumberFormat="1" applyFont="1" applyAlignment="1" applyProtection="1">
      <alignment horizontal="center" vertical="center"/>
      <protection locked="0"/>
    </xf>
    <xf numFmtId="177" fontId="18" fillId="0" borderId="10" xfId="0" applyNumberFormat="1" applyFont="1" applyBorder="1" applyAlignment="1" applyProtection="1">
      <alignment horizontal="center" vertical="center"/>
      <protection locked="0"/>
    </xf>
    <xf numFmtId="177" fontId="18" fillId="0" borderId="3" xfId="0" applyNumberFormat="1" applyFont="1" applyBorder="1" applyAlignment="1" applyProtection="1">
      <alignment horizontal="center" vertical="center"/>
      <protection locked="0"/>
    </xf>
    <xf numFmtId="177" fontId="18" fillId="0" borderId="11" xfId="0" applyNumberFormat="1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 shrinkToFit="1"/>
      <protection locked="0"/>
    </xf>
    <xf numFmtId="0" fontId="9" fillId="0" borderId="8" xfId="0" applyFont="1" applyBorder="1" applyAlignment="1" applyProtection="1">
      <alignment horizontal="center" vertical="center" shrinkToFit="1"/>
      <protection locked="0"/>
    </xf>
    <xf numFmtId="0" fontId="9" fillId="0" borderId="13" xfId="0" applyFont="1" applyBorder="1" applyAlignment="1" applyProtection="1">
      <alignment horizontal="center" vertical="center" shrinkToFit="1"/>
      <protection locked="0"/>
    </xf>
    <xf numFmtId="0" fontId="9" fillId="0" borderId="14" xfId="0" applyFont="1" applyBorder="1" applyAlignment="1" applyProtection="1">
      <alignment horizontal="center" vertical="center" shrinkToFit="1"/>
      <protection locked="0"/>
    </xf>
    <xf numFmtId="0" fontId="9" fillId="0" borderId="0" xfId="0" applyFont="1" applyAlignment="1" applyProtection="1">
      <alignment horizontal="center" vertical="center" shrinkToFit="1"/>
      <protection locked="0"/>
    </xf>
    <xf numFmtId="0" fontId="9" fillId="0" borderId="15" xfId="0" applyFont="1" applyBorder="1" applyAlignment="1" applyProtection="1">
      <alignment horizontal="center" vertical="center" shrinkToFit="1"/>
      <protection locked="0"/>
    </xf>
    <xf numFmtId="0" fontId="9" fillId="0" borderId="16" xfId="0" applyFont="1" applyBorder="1" applyAlignment="1" applyProtection="1">
      <alignment horizontal="center" vertical="center" shrinkToFit="1"/>
      <protection locked="0"/>
    </xf>
    <xf numFmtId="0" fontId="9" fillId="0" borderId="3" xfId="0" applyFont="1" applyBorder="1" applyAlignment="1" applyProtection="1">
      <alignment horizontal="center" vertical="center" shrinkToFit="1"/>
      <protection locked="0"/>
    </xf>
    <xf numFmtId="0" fontId="9" fillId="0" borderId="17" xfId="0" applyFont="1" applyBorder="1" applyAlignment="1" applyProtection="1">
      <alignment horizontal="center" vertical="center" shrinkToFit="1"/>
      <protection locked="0"/>
    </xf>
    <xf numFmtId="0" fontId="19" fillId="0" borderId="68" xfId="0" applyFont="1" applyBorder="1" applyAlignment="1">
      <alignment horizontal="center" vertical="center"/>
    </xf>
    <xf numFmtId="176" fontId="9" fillId="0" borderId="12" xfId="0" applyNumberFormat="1" applyFont="1" applyBorder="1" applyAlignment="1" applyProtection="1">
      <alignment horizontal="center" vertical="center" shrinkToFit="1"/>
      <protection locked="0"/>
    </xf>
    <xf numFmtId="176" fontId="9" fillId="0" borderId="8" xfId="0" applyNumberFormat="1" applyFont="1" applyBorder="1" applyAlignment="1" applyProtection="1">
      <alignment horizontal="center" vertical="center" shrinkToFit="1"/>
      <protection locked="0"/>
    </xf>
    <xf numFmtId="176" fontId="9" fillId="0" borderId="13" xfId="0" applyNumberFormat="1" applyFont="1" applyBorder="1" applyAlignment="1" applyProtection="1">
      <alignment horizontal="center" vertical="center" shrinkToFit="1"/>
      <protection locked="0"/>
    </xf>
    <xf numFmtId="0" fontId="18" fillId="0" borderId="12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9" fillId="0" borderId="45" xfId="0" applyFont="1" applyBorder="1" applyAlignment="1" applyProtection="1">
      <alignment vertical="center" wrapText="1"/>
      <protection locked="0"/>
    </xf>
    <xf numFmtId="0" fontId="9" fillId="0" borderId="8" xfId="0" applyFont="1" applyBorder="1" applyAlignment="1" applyProtection="1">
      <alignment vertical="center" wrapText="1"/>
      <protection locked="0"/>
    </xf>
    <xf numFmtId="0" fontId="9" fillId="0" borderId="13" xfId="0" applyFont="1" applyBorder="1" applyAlignment="1" applyProtection="1">
      <alignment vertical="center" wrapText="1"/>
      <protection locked="0"/>
    </xf>
    <xf numFmtId="0" fontId="9" fillId="0" borderId="4" xfId="0" applyFont="1" applyBorder="1" applyAlignment="1" applyProtection="1">
      <alignment vertical="center" wrapText="1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9" fillId="0" borderId="15" xfId="0" applyFont="1" applyBorder="1" applyAlignment="1" applyProtection="1">
      <alignment vertical="center" wrapText="1"/>
      <protection locked="0"/>
    </xf>
    <xf numFmtId="0" fontId="9" fillId="0" borderId="46" xfId="0" applyFont="1" applyBorder="1" applyAlignment="1" applyProtection="1">
      <alignment vertical="center" wrapText="1"/>
      <protection locked="0"/>
    </xf>
    <xf numFmtId="0" fontId="9" fillId="0" borderId="3" xfId="0" applyFont="1" applyBorder="1" applyAlignment="1" applyProtection="1">
      <alignment vertical="center" wrapText="1"/>
      <protection locked="0"/>
    </xf>
    <xf numFmtId="0" fontId="9" fillId="0" borderId="17" xfId="0" applyFont="1" applyBorder="1" applyAlignment="1" applyProtection="1">
      <alignment vertical="center" wrapText="1"/>
      <protection locked="0"/>
    </xf>
    <xf numFmtId="0" fontId="9" fillId="0" borderId="12" xfId="0" applyFont="1" applyBorder="1" applyAlignment="1" applyProtection="1">
      <alignment vertical="center" wrapText="1"/>
      <protection locked="0"/>
    </xf>
    <xf numFmtId="0" fontId="9" fillId="0" borderId="9" xfId="0" applyFont="1" applyBorder="1" applyAlignment="1" applyProtection="1">
      <alignment vertical="center" wrapText="1"/>
      <protection locked="0"/>
    </xf>
    <xf numFmtId="0" fontId="9" fillId="0" borderId="14" xfId="0" applyFont="1" applyBorder="1" applyAlignment="1" applyProtection="1">
      <alignment vertical="center" wrapText="1"/>
      <protection locked="0"/>
    </xf>
    <xf numFmtId="0" fontId="9" fillId="0" borderId="10" xfId="0" applyFont="1" applyBorder="1" applyAlignment="1" applyProtection="1">
      <alignment vertical="center" wrapText="1"/>
      <protection locked="0"/>
    </xf>
    <xf numFmtId="0" fontId="9" fillId="0" borderId="16" xfId="0" applyFont="1" applyBorder="1" applyAlignment="1" applyProtection="1">
      <alignment vertical="center" wrapText="1"/>
      <protection locked="0"/>
    </xf>
    <xf numFmtId="0" fontId="9" fillId="0" borderId="11" xfId="0" applyFont="1" applyBorder="1" applyAlignment="1" applyProtection="1">
      <alignment vertical="center" wrapText="1"/>
      <protection locked="0"/>
    </xf>
    <xf numFmtId="0" fontId="16" fillId="2" borderId="47" xfId="0" applyFont="1" applyFill="1" applyBorder="1" applyAlignment="1">
      <alignment horizontal="distributed" vertical="center" justifyLastLine="1"/>
    </xf>
    <xf numFmtId="0" fontId="16" fillId="2" borderId="48" xfId="0" applyFont="1" applyFill="1" applyBorder="1" applyAlignment="1">
      <alignment horizontal="distributed" vertical="center" justifyLastLine="1"/>
    </xf>
    <xf numFmtId="0" fontId="16" fillId="2" borderId="49" xfId="0" applyFont="1" applyFill="1" applyBorder="1" applyAlignment="1">
      <alignment horizontal="distributed" vertical="center" justifyLastLine="1"/>
    </xf>
    <xf numFmtId="0" fontId="16" fillId="2" borderId="50" xfId="0" applyFont="1" applyFill="1" applyBorder="1" applyAlignment="1">
      <alignment horizontal="distributed" vertical="center" justifyLastLine="1"/>
    </xf>
    <xf numFmtId="0" fontId="16" fillId="2" borderId="43" xfId="0" applyFont="1" applyFill="1" applyBorder="1" applyAlignment="1">
      <alignment horizontal="distributed" vertical="center" justifyLastLine="1"/>
    </xf>
    <xf numFmtId="0" fontId="16" fillId="2" borderId="44" xfId="0" applyFont="1" applyFill="1" applyBorder="1" applyAlignment="1">
      <alignment horizontal="distributed" vertical="center" justifyLastLine="1"/>
    </xf>
    <xf numFmtId="0" fontId="16" fillId="2" borderId="51" xfId="0" applyFont="1" applyFill="1" applyBorder="1" applyAlignment="1">
      <alignment horizontal="distributed" vertical="center" justifyLastLine="1"/>
    </xf>
    <xf numFmtId="0" fontId="16" fillId="2" borderId="52" xfId="0" applyFont="1" applyFill="1" applyBorder="1" applyAlignment="1">
      <alignment horizontal="distributed" vertical="center" justifyLastLine="1"/>
    </xf>
    <xf numFmtId="0" fontId="16" fillId="2" borderId="42" xfId="0" applyFont="1" applyFill="1" applyBorder="1" applyAlignment="1">
      <alignment horizontal="distributed" vertical="center" justifyLastLine="1"/>
    </xf>
    <xf numFmtId="0" fontId="16" fillId="2" borderId="53" xfId="0" applyFont="1" applyFill="1" applyBorder="1" applyAlignment="1">
      <alignment horizontal="distributed" vertical="center" justifyLastLine="1"/>
    </xf>
    <xf numFmtId="0" fontId="16" fillId="2" borderId="54" xfId="0" applyFont="1" applyFill="1" applyBorder="1" applyAlignment="1">
      <alignment horizontal="distributed" vertical="center" justifyLastLine="1"/>
    </xf>
    <xf numFmtId="0" fontId="16" fillId="2" borderId="55" xfId="0" applyFont="1" applyFill="1" applyBorder="1" applyAlignment="1">
      <alignment horizontal="distributed" vertical="center" justifyLastLine="1"/>
    </xf>
    <xf numFmtId="0" fontId="16" fillId="2" borderId="56" xfId="0" applyFont="1" applyFill="1" applyBorder="1" applyAlignment="1">
      <alignment horizontal="distributed" vertical="center" justifyLastLine="1"/>
    </xf>
    <xf numFmtId="0" fontId="16" fillId="2" borderId="57" xfId="0" applyFont="1" applyFill="1" applyBorder="1" applyAlignment="1">
      <alignment horizontal="distributed" vertical="center" justifyLastLine="1"/>
    </xf>
    <xf numFmtId="0" fontId="16" fillId="2" borderId="58" xfId="0" applyFont="1" applyFill="1" applyBorder="1" applyAlignment="1">
      <alignment horizontal="distributed" vertical="center" justifyLastLine="1"/>
    </xf>
    <xf numFmtId="0" fontId="16" fillId="2" borderId="59" xfId="0" applyFont="1" applyFill="1" applyBorder="1" applyAlignment="1">
      <alignment horizontal="distributed" vertical="center" justifyLastLine="1"/>
    </xf>
    <xf numFmtId="0" fontId="16" fillId="2" borderId="51" xfId="0" applyFont="1" applyFill="1" applyBorder="1" applyAlignment="1">
      <alignment horizontal="center" vertical="distributed" textRotation="255" justifyLastLine="1"/>
    </xf>
    <xf numFmtId="0" fontId="16" fillId="2" borderId="48" xfId="0" applyFont="1" applyFill="1" applyBorder="1" applyAlignment="1">
      <alignment horizontal="center" vertical="distributed" textRotation="255" justifyLastLine="1"/>
    </xf>
    <xf numFmtId="0" fontId="16" fillId="2" borderId="49" xfId="0" applyFont="1" applyFill="1" applyBorder="1" applyAlignment="1">
      <alignment horizontal="center" vertical="distributed" textRotation="255" justifyLastLine="1"/>
    </xf>
    <xf numFmtId="0" fontId="16" fillId="2" borderId="14" xfId="0" applyFont="1" applyFill="1" applyBorder="1" applyAlignment="1">
      <alignment horizontal="center" vertical="distributed" textRotation="255" justifyLastLine="1"/>
    </xf>
    <xf numFmtId="0" fontId="16" fillId="2" borderId="0" xfId="0" applyFont="1" applyFill="1" applyAlignment="1">
      <alignment horizontal="center" vertical="distributed" textRotation="255" justifyLastLine="1"/>
    </xf>
    <xf numFmtId="0" fontId="16" fillId="2" borderId="15" xfId="0" applyFont="1" applyFill="1" applyBorder="1" applyAlignment="1">
      <alignment horizontal="center" vertical="distributed" textRotation="255" justifyLastLine="1"/>
    </xf>
    <xf numFmtId="0" fontId="16" fillId="2" borderId="60" xfId="0" applyFont="1" applyFill="1" applyBorder="1" applyAlignment="1">
      <alignment horizontal="center" vertical="distributed" textRotation="255" justifyLastLine="1"/>
    </xf>
    <xf numFmtId="0" fontId="16" fillId="2" borderId="61" xfId="0" applyFont="1" applyFill="1" applyBorder="1" applyAlignment="1">
      <alignment horizontal="center" vertical="distributed" textRotation="255" justifyLastLine="1"/>
    </xf>
    <xf numFmtId="0" fontId="16" fillId="2" borderId="62" xfId="0" applyFont="1" applyFill="1" applyBorder="1" applyAlignment="1">
      <alignment horizontal="center" vertical="distributed" textRotation="255" justifyLastLine="1"/>
    </xf>
    <xf numFmtId="176" fontId="9" fillId="0" borderId="63" xfId="0" applyNumberFormat="1" applyFont="1" applyBorder="1" applyAlignment="1" applyProtection="1">
      <alignment horizontal="center" vertical="center" shrinkToFit="1"/>
      <protection locked="0"/>
    </xf>
    <xf numFmtId="176" fontId="9" fillId="0" borderId="64" xfId="0" applyNumberFormat="1" applyFont="1" applyBorder="1" applyAlignment="1" applyProtection="1">
      <alignment horizontal="center" vertical="center" shrinkToFit="1"/>
      <protection locked="0"/>
    </xf>
    <xf numFmtId="176" fontId="9" fillId="0" borderId="65" xfId="0" applyNumberFormat="1" applyFont="1" applyBorder="1" applyAlignment="1" applyProtection="1">
      <alignment horizontal="center" vertical="center" shrinkToFit="1"/>
      <protection locked="0"/>
    </xf>
    <xf numFmtId="0" fontId="16" fillId="2" borderId="66" xfId="0" applyFont="1" applyFill="1" applyBorder="1" applyAlignment="1">
      <alignment horizontal="distributed" vertical="center" wrapText="1" justifyLastLine="1"/>
    </xf>
    <xf numFmtId="0" fontId="16" fillId="2" borderId="6" xfId="0" applyFont="1" applyFill="1" applyBorder="1" applyAlignment="1">
      <alignment horizontal="distributed" vertical="center" wrapText="1" justifyLastLine="1"/>
    </xf>
    <xf numFmtId="0" fontId="16" fillId="2" borderId="67" xfId="0" applyFont="1" applyFill="1" applyBorder="1" applyAlignment="1">
      <alignment horizontal="distributed" vertical="center" wrapText="1" justifyLastLine="1"/>
    </xf>
    <xf numFmtId="0" fontId="16" fillId="2" borderId="66" xfId="0" applyFont="1" applyFill="1" applyBorder="1" applyAlignment="1">
      <alignment horizontal="distributed" vertical="center" justifyLastLine="1"/>
    </xf>
    <xf numFmtId="0" fontId="16" fillId="2" borderId="6" xfId="0" applyFont="1" applyFill="1" applyBorder="1" applyAlignment="1">
      <alignment horizontal="distributed" vertical="center" justifyLastLine="1"/>
    </xf>
    <xf numFmtId="0" fontId="16" fillId="2" borderId="67" xfId="0" applyFont="1" applyFill="1" applyBorder="1" applyAlignment="1">
      <alignment horizontal="distributed" vertical="center" justifyLastLine="1"/>
    </xf>
    <xf numFmtId="0" fontId="18" fillId="0" borderId="6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16" fillId="2" borderId="69" xfId="0" applyFont="1" applyFill="1" applyBorder="1" applyAlignment="1">
      <alignment horizontal="distributed" vertical="center" justifyLastLine="1"/>
    </xf>
    <xf numFmtId="0" fontId="11" fillId="0" borderId="0" xfId="0" applyFont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6" fillId="2" borderId="47" xfId="0" applyFont="1" applyFill="1" applyBorder="1" applyAlignment="1">
      <alignment horizontal="distributed" vertical="center" wrapText="1" justifyLastLine="1"/>
    </xf>
    <xf numFmtId="0" fontId="16" fillId="2" borderId="48" xfId="0" applyFont="1" applyFill="1" applyBorder="1" applyAlignment="1">
      <alignment horizontal="distributed" vertical="center" wrapText="1" justifyLastLine="1"/>
    </xf>
    <xf numFmtId="0" fontId="16" fillId="2" borderId="49" xfId="0" applyFont="1" applyFill="1" applyBorder="1" applyAlignment="1">
      <alignment horizontal="distributed" vertical="center" wrapText="1" justifyLastLine="1"/>
    </xf>
    <xf numFmtId="0" fontId="16" fillId="2" borderId="4" xfId="0" applyFont="1" applyFill="1" applyBorder="1" applyAlignment="1">
      <alignment horizontal="distributed" vertical="center" wrapText="1" justifyLastLine="1"/>
    </xf>
    <xf numFmtId="0" fontId="16" fillId="2" borderId="0" xfId="0" applyFont="1" applyFill="1" applyAlignment="1">
      <alignment horizontal="distributed" vertical="center" wrapText="1" justifyLastLine="1"/>
    </xf>
    <xf numFmtId="0" fontId="16" fillId="2" borderId="15" xfId="0" applyFont="1" applyFill="1" applyBorder="1" applyAlignment="1">
      <alignment horizontal="distributed" vertical="center" wrapText="1" justifyLastLine="1"/>
    </xf>
    <xf numFmtId="0" fontId="16" fillId="2" borderId="50" xfId="0" applyFont="1" applyFill="1" applyBorder="1" applyAlignment="1">
      <alignment horizontal="distributed" vertical="center" wrapText="1" justifyLastLine="1"/>
    </xf>
    <xf numFmtId="0" fontId="16" fillId="2" borderId="43" xfId="0" applyFont="1" applyFill="1" applyBorder="1" applyAlignment="1">
      <alignment horizontal="distributed" vertical="center" wrapText="1" justifyLastLine="1"/>
    </xf>
    <xf numFmtId="0" fontId="16" fillId="2" borderId="44" xfId="0" applyFont="1" applyFill="1" applyBorder="1" applyAlignment="1">
      <alignment horizontal="distributed" vertical="center" wrapText="1" justifyLastLine="1"/>
    </xf>
    <xf numFmtId="0" fontId="18" fillId="0" borderId="12" xfId="0" applyFont="1" applyBorder="1" applyAlignment="1" applyProtection="1">
      <alignment horizontal="center" vertical="center" shrinkToFit="1"/>
      <protection locked="0"/>
    </xf>
    <xf numFmtId="0" fontId="18" fillId="0" borderId="8" xfId="0" applyFont="1" applyBorder="1" applyAlignment="1" applyProtection="1">
      <alignment horizontal="center" vertical="center" shrinkToFit="1"/>
      <protection locked="0"/>
    </xf>
    <xf numFmtId="0" fontId="18" fillId="0" borderId="14" xfId="0" applyFont="1" applyBorder="1" applyAlignment="1" applyProtection="1">
      <alignment horizontal="center" vertical="center" shrinkToFit="1"/>
      <protection locked="0"/>
    </xf>
    <xf numFmtId="0" fontId="18" fillId="0" borderId="0" xfId="0" applyFont="1" applyAlignment="1" applyProtection="1">
      <alignment horizontal="center" vertical="center" shrinkToFit="1"/>
      <protection locked="0"/>
    </xf>
    <xf numFmtId="0" fontId="18" fillId="0" borderId="42" xfId="0" applyFont="1" applyBorder="1" applyAlignment="1" applyProtection="1">
      <alignment horizontal="center" vertical="center" shrinkToFit="1"/>
      <protection locked="0"/>
    </xf>
    <xf numFmtId="0" fontId="18" fillId="0" borderId="43" xfId="0" applyFont="1" applyBorder="1" applyAlignment="1" applyProtection="1">
      <alignment horizontal="center" vertical="center" shrinkToFi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7" fillId="0" borderId="51" xfId="0" applyFont="1" applyBorder="1" applyAlignment="1" applyProtection="1">
      <alignment horizontal="distributed" vertical="center" justifyLastLine="1"/>
      <protection locked="0"/>
    </xf>
    <xf numFmtId="0" fontId="18" fillId="0" borderId="48" xfId="0" applyFont="1" applyBorder="1" applyAlignment="1" applyProtection="1">
      <alignment horizontal="distributed" vertical="center" justifyLastLine="1"/>
      <protection locked="0"/>
    </xf>
    <xf numFmtId="0" fontId="18" fillId="0" borderId="49" xfId="0" applyFont="1" applyBorder="1" applyAlignment="1" applyProtection="1">
      <alignment horizontal="distributed" vertical="center" justifyLastLine="1"/>
      <protection locked="0"/>
    </xf>
    <xf numFmtId="0" fontId="18" fillId="0" borderId="14" xfId="0" applyFont="1" applyBorder="1" applyAlignment="1" applyProtection="1">
      <alignment horizontal="distributed" vertical="center" justifyLastLine="1"/>
      <protection locked="0"/>
    </xf>
    <xf numFmtId="0" fontId="18" fillId="0" borderId="0" xfId="0" applyFont="1" applyAlignment="1" applyProtection="1">
      <alignment horizontal="distributed" vertical="center" justifyLastLine="1"/>
      <protection locked="0"/>
    </xf>
    <xf numFmtId="0" fontId="18" fillId="0" borderId="15" xfId="0" applyFont="1" applyBorder="1" applyAlignment="1" applyProtection="1">
      <alignment horizontal="distributed" vertical="center" justifyLastLine="1"/>
      <protection locked="0"/>
    </xf>
    <xf numFmtId="0" fontId="18" fillId="0" borderId="16" xfId="0" applyFont="1" applyBorder="1" applyAlignment="1" applyProtection="1">
      <alignment horizontal="center" vertical="center" shrinkToFit="1"/>
      <protection locked="0"/>
    </xf>
    <xf numFmtId="0" fontId="18" fillId="0" borderId="3" xfId="0" applyFont="1" applyBorder="1" applyAlignment="1" applyProtection="1">
      <alignment horizontal="center" vertical="center" shrinkToFit="1"/>
      <protection locked="0"/>
    </xf>
    <xf numFmtId="178" fontId="16" fillId="2" borderId="51" xfId="0" applyNumberFormat="1" applyFont="1" applyFill="1" applyBorder="1" applyAlignment="1">
      <alignment horizontal="distributed" vertical="center" justifyLastLine="1"/>
    </xf>
    <xf numFmtId="178" fontId="16" fillId="2" borderId="48" xfId="0" applyNumberFormat="1" applyFont="1" applyFill="1" applyBorder="1" applyAlignment="1">
      <alignment horizontal="distributed" vertical="center" justifyLastLine="1"/>
    </xf>
    <xf numFmtId="178" fontId="16" fillId="2" borderId="49" xfId="0" applyNumberFormat="1" applyFont="1" applyFill="1" applyBorder="1" applyAlignment="1">
      <alignment horizontal="distributed" vertical="center" justifyLastLine="1"/>
    </xf>
    <xf numFmtId="178" fontId="16" fillId="2" borderId="14" xfId="0" applyNumberFormat="1" applyFont="1" applyFill="1" applyBorder="1" applyAlignment="1">
      <alignment horizontal="distributed" vertical="center" justifyLastLine="1"/>
    </xf>
    <xf numFmtId="178" fontId="16" fillId="2" borderId="0" xfId="0" applyNumberFormat="1" applyFont="1" applyFill="1" applyAlignment="1">
      <alignment horizontal="distributed" vertical="center" justifyLastLine="1"/>
    </xf>
    <xf numFmtId="178" fontId="16" fillId="2" borderId="15" xfId="0" applyNumberFormat="1" applyFont="1" applyFill="1" applyBorder="1" applyAlignment="1">
      <alignment horizontal="distributed" vertical="center" justifyLastLine="1"/>
    </xf>
    <xf numFmtId="0" fontId="16" fillId="2" borderId="14" xfId="0" applyFont="1" applyFill="1" applyBorder="1" applyAlignment="1">
      <alignment horizontal="distributed" vertical="center" justifyLastLine="1"/>
    </xf>
    <xf numFmtId="0" fontId="16" fillId="2" borderId="0" xfId="0" applyFont="1" applyFill="1" applyAlignment="1">
      <alignment horizontal="distributed" vertical="center" justifyLastLine="1"/>
    </xf>
    <xf numFmtId="0" fontId="16" fillId="2" borderId="15" xfId="0" applyFont="1" applyFill="1" applyBorder="1" applyAlignment="1">
      <alignment horizontal="distributed" vertical="center" justifyLastLine="1"/>
    </xf>
    <xf numFmtId="0" fontId="18" fillId="0" borderId="41" xfId="0" applyFont="1" applyBorder="1" applyAlignment="1" applyProtection="1">
      <alignment horizontal="center" vertical="center"/>
      <protection locked="0"/>
    </xf>
    <xf numFmtId="0" fontId="18" fillId="0" borderId="40" xfId="0" applyFont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/>
      <protection locked="0"/>
    </xf>
    <xf numFmtId="0" fontId="16" fillId="2" borderId="77" xfId="0" applyFont="1" applyFill="1" applyBorder="1" applyAlignment="1">
      <alignment horizontal="center" vertical="center" textRotation="255"/>
    </xf>
    <xf numFmtId="0" fontId="16" fillId="2" borderId="39" xfId="0" applyFont="1" applyFill="1" applyBorder="1" applyAlignment="1">
      <alignment horizontal="center" vertical="center" textRotation="255"/>
    </xf>
    <xf numFmtId="0" fontId="11" fillId="0" borderId="0" xfId="0" applyFont="1" applyAlignment="1">
      <alignment horizontal="center" vertical="center" wrapText="1" justifyLastLine="1"/>
    </xf>
    <xf numFmtId="0" fontId="11" fillId="0" borderId="3" xfId="0" applyFont="1" applyBorder="1" applyAlignment="1">
      <alignment horizontal="center" vertical="center" wrapText="1" justifyLastLine="1"/>
    </xf>
    <xf numFmtId="0" fontId="11" fillId="0" borderId="0" xfId="0" applyFont="1" applyAlignment="1">
      <alignment horizontal="distributed" vertical="center" wrapText="1" justifyLastLine="1"/>
    </xf>
    <xf numFmtId="0" fontId="0" fillId="0" borderId="0" xfId="0" applyAlignment="1">
      <alignment horizontal="distributed" vertical="center" wrapText="1" justifyLastLine="1"/>
    </xf>
    <xf numFmtId="0" fontId="0" fillId="0" borderId="3" xfId="0" applyBorder="1" applyAlignment="1">
      <alignment horizontal="distributed" vertical="center" wrapText="1" justifyLastLine="1"/>
    </xf>
    <xf numFmtId="0" fontId="0" fillId="0" borderId="48" xfId="0" applyBorder="1" applyAlignment="1">
      <alignment horizontal="distributed" vertical="center" justifyLastLine="1"/>
    </xf>
    <xf numFmtId="0" fontId="0" fillId="0" borderId="52" xfId="0" applyBorder="1" applyAlignment="1">
      <alignment horizontal="distributed" vertical="center" justifyLastLine="1"/>
    </xf>
    <xf numFmtId="0" fontId="0" fillId="0" borderId="42" xfId="0" applyBorder="1" applyAlignment="1">
      <alignment horizontal="distributed" vertical="center" justifyLastLine="1"/>
    </xf>
    <xf numFmtId="0" fontId="0" fillId="0" borderId="43" xfId="0" applyBorder="1" applyAlignment="1">
      <alignment horizontal="distributed" vertical="center" justifyLastLine="1"/>
    </xf>
    <xf numFmtId="0" fontId="0" fillId="0" borderId="53" xfId="0" applyBorder="1" applyAlignment="1">
      <alignment horizontal="distributed" vertical="center" justifyLastLine="1"/>
    </xf>
    <xf numFmtId="0" fontId="19" fillId="0" borderId="78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0" fontId="19" fillId="0" borderId="80" xfId="0" applyFont="1" applyBorder="1" applyAlignment="1">
      <alignment horizontal="center" vertical="center"/>
    </xf>
    <xf numFmtId="0" fontId="17" fillId="0" borderId="81" xfId="0" applyFont="1" applyBorder="1" applyAlignment="1" applyProtection="1">
      <alignment horizontal="center" vertical="center" justifyLastLine="1"/>
      <protection locked="0"/>
    </xf>
    <xf numFmtId="0" fontId="17" fillId="0" borderId="82" xfId="0" applyFont="1" applyBorder="1" applyAlignment="1" applyProtection="1">
      <alignment horizontal="center" vertical="center" justifyLastLine="1"/>
      <protection locked="0"/>
    </xf>
    <xf numFmtId="0" fontId="17" fillId="0" borderId="83" xfId="0" applyFont="1" applyBorder="1" applyAlignment="1" applyProtection="1">
      <alignment horizontal="center" vertical="center" justifyLastLine="1"/>
      <protection locked="0"/>
    </xf>
    <xf numFmtId="0" fontId="17" fillId="0" borderId="14" xfId="0" applyFont="1" applyBorder="1" applyAlignment="1" applyProtection="1">
      <alignment horizontal="center" vertical="center" justifyLastLine="1"/>
      <protection locked="0"/>
    </xf>
    <xf numFmtId="0" fontId="17" fillId="0" borderId="0" xfId="0" applyFont="1" applyAlignment="1" applyProtection="1">
      <alignment horizontal="center" vertical="center" justifyLastLine="1"/>
      <protection locked="0"/>
    </xf>
    <xf numFmtId="0" fontId="17" fillId="0" borderId="15" xfId="0" applyFont="1" applyBorder="1" applyAlignment="1" applyProtection="1">
      <alignment horizontal="center" vertical="center" justifyLastLine="1"/>
      <protection locked="0"/>
    </xf>
    <xf numFmtId="0" fontId="17" fillId="0" borderId="42" xfId="0" applyFont="1" applyBorder="1" applyAlignment="1" applyProtection="1">
      <alignment horizontal="center" vertical="center" justifyLastLine="1"/>
      <protection locked="0"/>
    </xf>
    <xf numFmtId="0" fontId="17" fillId="0" borderId="43" xfId="0" applyFont="1" applyBorder="1" applyAlignment="1" applyProtection="1">
      <alignment horizontal="center" vertical="center" justifyLastLine="1"/>
      <protection locked="0"/>
    </xf>
    <xf numFmtId="0" fontId="17" fillId="0" borderId="44" xfId="0" applyFont="1" applyBorder="1" applyAlignment="1" applyProtection="1">
      <alignment horizontal="center" vertical="center" justifyLastLine="1"/>
      <protection locked="0"/>
    </xf>
    <xf numFmtId="0" fontId="14" fillId="0" borderId="0" xfId="0" applyFont="1" applyAlignment="1">
      <alignment horizontal="distributed" wrapText="1"/>
    </xf>
    <xf numFmtId="0" fontId="0" fillId="0" borderId="0" xfId="0" applyAlignment="1">
      <alignment horizontal="distributed"/>
    </xf>
    <xf numFmtId="0" fontId="0" fillId="0" borderId="3" xfId="0" applyBorder="1" applyAlignment="1">
      <alignment horizontal="distributed"/>
    </xf>
    <xf numFmtId="0" fontId="9" fillId="0" borderId="12" xfId="0" applyFont="1" applyBorder="1" applyAlignment="1" applyProtection="1">
      <alignment vertical="center" wrapText="1" shrinkToFit="1"/>
      <protection locked="0"/>
    </xf>
    <xf numFmtId="0" fontId="9" fillId="0" borderId="8" xfId="0" applyFont="1" applyBorder="1" applyAlignment="1" applyProtection="1">
      <alignment vertical="center" wrapText="1" shrinkToFit="1"/>
      <protection locked="0"/>
    </xf>
    <xf numFmtId="0" fontId="9" fillId="0" borderId="9" xfId="0" applyFont="1" applyBorder="1" applyAlignment="1" applyProtection="1">
      <alignment vertical="center" wrapText="1" shrinkToFit="1"/>
      <protection locked="0"/>
    </xf>
    <xf numFmtId="0" fontId="9" fillId="0" borderId="14" xfId="0" applyFont="1" applyBorder="1" applyAlignment="1" applyProtection="1">
      <alignment vertical="center" wrapText="1" shrinkToFit="1"/>
      <protection locked="0"/>
    </xf>
    <xf numFmtId="0" fontId="9" fillId="0" borderId="0" xfId="0" applyFont="1" applyAlignment="1" applyProtection="1">
      <alignment vertical="center" wrapText="1" shrinkToFit="1"/>
      <protection locked="0"/>
    </xf>
    <xf numFmtId="0" fontId="9" fillId="0" borderId="10" xfId="0" applyFont="1" applyBorder="1" applyAlignment="1" applyProtection="1">
      <alignment vertical="center" wrapText="1" shrinkToFit="1"/>
      <protection locked="0"/>
    </xf>
    <xf numFmtId="0" fontId="9" fillId="0" borderId="42" xfId="0" applyFont="1" applyBorder="1" applyAlignment="1" applyProtection="1">
      <alignment vertical="center" wrapText="1" shrinkToFit="1"/>
      <protection locked="0"/>
    </xf>
    <xf numFmtId="0" fontId="9" fillId="0" borderId="43" xfId="0" applyFont="1" applyBorder="1" applyAlignment="1" applyProtection="1">
      <alignment vertical="center" wrapText="1" shrinkToFit="1"/>
      <protection locked="0"/>
    </xf>
    <xf numFmtId="0" fontId="9" fillId="0" borderId="53" xfId="0" applyFont="1" applyBorder="1" applyAlignment="1" applyProtection="1">
      <alignment vertical="center" wrapText="1" shrinkToFit="1"/>
      <protection locked="0"/>
    </xf>
    <xf numFmtId="0" fontId="16" fillId="2" borderId="12" xfId="0" applyFont="1" applyFill="1" applyBorder="1" applyAlignment="1">
      <alignment horizontal="distributed" vertical="center" wrapText="1" justifyLastLine="1"/>
    </xf>
    <xf numFmtId="0" fontId="16" fillId="2" borderId="8" xfId="0" applyFont="1" applyFill="1" applyBorder="1" applyAlignment="1">
      <alignment horizontal="distributed" vertical="center" justifyLastLine="1"/>
    </xf>
    <xf numFmtId="0" fontId="16" fillId="2" borderId="16" xfId="0" applyFont="1" applyFill="1" applyBorder="1" applyAlignment="1">
      <alignment horizontal="distributed" vertical="center" justifyLastLine="1"/>
    </xf>
    <xf numFmtId="0" fontId="16" fillId="2" borderId="3" xfId="0" applyFont="1" applyFill="1" applyBorder="1" applyAlignment="1">
      <alignment horizontal="distributed" vertical="center" justifyLastLine="1"/>
    </xf>
    <xf numFmtId="0" fontId="16" fillId="2" borderId="17" xfId="0" applyFont="1" applyFill="1" applyBorder="1" applyAlignment="1">
      <alignment horizontal="distributed" vertical="center" justifyLastLine="1"/>
    </xf>
    <xf numFmtId="0" fontId="16" fillId="2" borderId="71" xfId="0" applyFont="1" applyFill="1" applyBorder="1" applyAlignment="1">
      <alignment horizontal="distributed" vertical="center" justifyLastLine="1"/>
    </xf>
    <xf numFmtId="0" fontId="16" fillId="2" borderId="72" xfId="0" applyFont="1" applyFill="1" applyBorder="1" applyAlignment="1">
      <alignment horizontal="distributed" vertical="center" justifyLastLine="1"/>
    </xf>
    <xf numFmtId="0" fontId="16" fillId="2" borderId="73" xfId="0" applyFont="1" applyFill="1" applyBorder="1" applyAlignment="1">
      <alignment horizontal="distributed" vertical="center" justifyLastLine="1"/>
    </xf>
    <xf numFmtId="0" fontId="16" fillId="2" borderId="74" xfId="0" applyFont="1" applyFill="1" applyBorder="1" applyAlignment="1">
      <alignment horizontal="distributed" vertical="center" justifyLastLine="1"/>
    </xf>
    <xf numFmtId="0" fontId="16" fillId="2" borderId="75" xfId="0" applyFont="1" applyFill="1" applyBorder="1" applyAlignment="1">
      <alignment horizontal="distributed" vertical="center" justifyLastLine="1"/>
    </xf>
    <xf numFmtId="0" fontId="16" fillId="2" borderId="76" xfId="0" applyFont="1" applyFill="1" applyBorder="1" applyAlignment="1">
      <alignment horizontal="distributed" vertical="center" justifyLastLine="1"/>
    </xf>
    <xf numFmtId="0" fontId="9" fillId="0" borderId="68" xfId="0" applyFont="1" applyBorder="1" applyAlignment="1" applyProtection="1">
      <alignment vertical="center" wrapText="1"/>
      <protection locked="0"/>
    </xf>
    <xf numFmtId="178" fontId="18" fillId="0" borderId="12" xfId="0" applyNumberFormat="1" applyFont="1" applyBorder="1" applyAlignment="1" applyProtection="1">
      <alignment horizontal="center" vertical="center"/>
      <protection locked="0"/>
    </xf>
    <xf numFmtId="178" fontId="18" fillId="0" borderId="8" xfId="0" applyNumberFormat="1" applyFont="1" applyBorder="1" applyAlignment="1" applyProtection="1">
      <alignment horizontal="center" vertical="center"/>
      <protection locked="0"/>
    </xf>
    <xf numFmtId="178" fontId="18" fillId="0" borderId="13" xfId="0" applyNumberFormat="1" applyFont="1" applyBorder="1" applyAlignment="1" applyProtection="1">
      <alignment horizontal="center" vertical="center"/>
      <protection locked="0"/>
    </xf>
    <xf numFmtId="178" fontId="18" fillId="0" borderId="14" xfId="0" applyNumberFormat="1" applyFont="1" applyBorder="1" applyAlignment="1" applyProtection="1">
      <alignment horizontal="center" vertical="center"/>
      <protection locked="0"/>
    </xf>
    <xf numFmtId="178" fontId="18" fillId="0" borderId="0" xfId="0" applyNumberFormat="1" applyFont="1" applyAlignment="1" applyProtection="1">
      <alignment horizontal="center" vertical="center"/>
      <protection locked="0"/>
    </xf>
    <xf numFmtId="178" fontId="18" fillId="0" borderId="15" xfId="0" applyNumberFormat="1" applyFont="1" applyBorder="1" applyAlignment="1" applyProtection="1">
      <alignment horizontal="center" vertical="center"/>
      <protection locked="0"/>
    </xf>
    <xf numFmtId="178" fontId="18" fillId="0" borderId="42" xfId="0" applyNumberFormat="1" applyFont="1" applyBorder="1" applyAlignment="1" applyProtection="1">
      <alignment horizontal="center" vertical="center"/>
      <protection locked="0"/>
    </xf>
    <xf numFmtId="178" fontId="18" fillId="0" borderId="43" xfId="0" applyNumberFormat="1" applyFont="1" applyBorder="1" applyAlignment="1" applyProtection="1">
      <alignment horizontal="center" vertical="center"/>
      <protection locked="0"/>
    </xf>
    <xf numFmtId="178" fontId="18" fillId="0" borderId="44" xfId="0" applyNumberFormat="1" applyFont="1" applyBorder="1" applyAlignment="1" applyProtection="1">
      <alignment horizontal="center" vertical="center"/>
      <protection locked="0"/>
    </xf>
    <xf numFmtId="0" fontId="16" fillId="2" borderId="70" xfId="0" applyFont="1" applyFill="1" applyBorder="1" applyAlignment="1">
      <alignment horizontal="distributed" vertical="center" justifyLastLine="1"/>
    </xf>
    <xf numFmtId="0" fontId="16" fillId="2" borderId="7" xfId="0" applyFont="1" applyFill="1" applyBorder="1" applyAlignment="1">
      <alignment horizontal="distributed" vertical="center" justifyLastLine="1"/>
    </xf>
    <xf numFmtId="0" fontId="8" fillId="0" borderId="0" xfId="0" applyFont="1" applyAlignment="1">
      <alignment horizontal="right"/>
    </xf>
    <xf numFmtId="0" fontId="8" fillId="0" borderId="43" xfId="0" applyFont="1" applyBorder="1" applyAlignment="1">
      <alignment horizontal="right"/>
    </xf>
    <xf numFmtId="0" fontId="23" fillId="0" borderId="92" xfId="0" applyFont="1" applyBorder="1" applyAlignment="1" applyProtection="1">
      <alignment horizontal="center" vertical="center"/>
      <protection locked="0"/>
    </xf>
    <xf numFmtId="0" fontId="23" fillId="0" borderId="93" xfId="0" applyFont="1" applyBorder="1" applyAlignment="1" applyProtection="1">
      <alignment horizontal="center" vertical="center"/>
      <protection locked="0"/>
    </xf>
    <xf numFmtId="176" fontId="9" fillId="0" borderId="81" xfId="0" applyNumberFormat="1" applyFont="1" applyBorder="1" applyAlignment="1" applyProtection="1">
      <alignment horizontal="center" vertical="center" shrinkToFit="1"/>
      <protection locked="0"/>
    </xf>
    <xf numFmtId="176" fontId="9" fillId="0" borderId="82" xfId="0" applyNumberFormat="1" applyFont="1" applyBorder="1" applyAlignment="1" applyProtection="1">
      <alignment horizontal="center" vertical="center" shrinkToFit="1"/>
      <protection locked="0"/>
    </xf>
    <xf numFmtId="176" fontId="9" fillId="0" borderId="83" xfId="0" applyNumberFormat="1" applyFont="1" applyBorder="1" applyAlignment="1" applyProtection="1">
      <alignment horizontal="center" vertical="center" shrinkToFit="1"/>
      <protection locked="0"/>
    </xf>
    <xf numFmtId="0" fontId="18" fillId="0" borderId="81" xfId="0" applyFont="1" applyBorder="1" applyAlignment="1">
      <alignment horizontal="center" vertical="center"/>
    </xf>
    <xf numFmtId="0" fontId="18" fillId="0" borderId="82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/>
    </xf>
    <xf numFmtId="0" fontId="8" fillId="0" borderId="90" xfId="0" applyFont="1" applyBorder="1" applyAlignment="1" applyProtection="1">
      <alignment vertical="center" wrapText="1"/>
      <protection locked="0"/>
    </xf>
    <xf numFmtId="0" fontId="8" fillId="0" borderId="94" xfId="0" applyFont="1" applyBorder="1" applyAlignment="1" applyProtection="1">
      <alignment vertical="center" wrapText="1"/>
      <protection locked="0"/>
    </xf>
    <xf numFmtId="0" fontId="9" fillId="0" borderId="90" xfId="0" applyFont="1" applyBorder="1" applyAlignment="1" applyProtection="1">
      <alignment vertical="center" wrapText="1"/>
      <protection locked="0"/>
    </xf>
    <xf numFmtId="0" fontId="9" fillId="0" borderId="94" xfId="0" applyFont="1" applyBorder="1" applyAlignment="1" applyProtection="1">
      <alignment vertical="center" wrapText="1"/>
      <protection locked="0"/>
    </xf>
    <xf numFmtId="0" fontId="23" fillId="0" borderId="91" xfId="0" applyFont="1" applyBorder="1" applyAlignment="1" applyProtection="1">
      <alignment horizontal="center" vertical="center"/>
      <protection locked="0"/>
    </xf>
    <xf numFmtId="176" fontId="9" fillId="0" borderId="95" xfId="0" applyNumberFormat="1" applyFont="1" applyBorder="1" applyAlignment="1" applyProtection="1">
      <alignment horizontal="center" vertical="center" shrinkToFit="1"/>
      <protection locked="0"/>
    </xf>
    <xf numFmtId="176" fontId="9" fillId="0" borderId="96" xfId="0" applyNumberFormat="1" applyFont="1" applyBorder="1" applyAlignment="1" applyProtection="1">
      <alignment horizontal="center" vertical="center" shrinkToFit="1"/>
      <protection locked="0"/>
    </xf>
    <xf numFmtId="176" fontId="9" fillId="0" borderId="97" xfId="0" applyNumberFormat="1" applyFont="1" applyBorder="1" applyAlignment="1" applyProtection="1">
      <alignment horizontal="center" vertical="center" shrinkToFit="1"/>
      <protection locked="0"/>
    </xf>
    <xf numFmtId="0" fontId="9" fillId="0" borderId="95" xfId="0" applyFont="1" applyBorder="1" applyAlignment="1">
      <alignment horizontal="center" vertical="center"/>
    </xf>
    <xf numFmtId="0" fontId="9" fillId="0" borderId="96" xfId="0" applyFont="1" applyBorder="1" applyAlignment="1">
      <alignment horizontal="center" vertical="center"/>
    </xf>
    <xf numFmtId="0" fontId="9" fillId="0" borderId="97" xfId="0" applyFont="1" applyBorder="1" applyAlignment="1">
      <alignment horizontal="center" vertical="center"/>
    </xf>
    <xf numFmtId="0" fontId="22" fillId="0" borderId="98" xfId="0" applyFont="1" applyBorder="1" applyAlignment="1" applyProtection="1">
      <alignment horizontal="left" vertical="center" shrinkToFit="1"/>
      <protection locked="0"/>
    </xf>
    <xf numFmtId="0" fontId="22" fillId="0" borderId="99" xfId="0" applyFont="1" applyBorder="1" applyAlignment="1" applyProtection="1">
      <alignment horizontal="left" vertical="center" shrinkToFit="1"/>
      <protection locked="0"/>
    </xf>
    <xf numFmtId="0" fontId="22" fillId="0" borderId="100" xfId="0" applyFont="1" applyBorder="1" applyAlignment="1" applyProtection="1">
      <alignment horizontal="left" vertical="center" shrinkToFit="1"/>
      <protection locked="0"/>
    </xf>
    <xf numFmtId="0" fontId="22" fillId="0" borderId="85" xfId="0" applyFont="1" applyBorder="1" applyAlignment="1" applyProtection="1">
      <alignment horizontal="left" vertical="center" shrinkToFit="1"/>
      <protection locked="0"/>
    </xf>
    <xf numFmtId="0" fontId="22" fillId="0" borderId="86" xfId="0" applyFont="1" applyBorder="1" applyAlignment="1" applyProtection="1">
      <alignment horizontal="left" vertical="center" shrinkToFit="1"/>
      <protection locked="0"/>
    </xf>
    <xf numFmtId="0" fontId="22" fillId="0" borderId="87" xfId="0" applyFont="1" applyBorder="1" applyAlignment="1" applyProtection="1">
      <alignment horizontal="left" vertical="center" shrinkToFit="1"/>
      <protection locked="0"/>
    </xf>
    <xf numFmtId="0" fontId="23" fillId="0" borderId="89" xfId="0" applyFont="1" applyBorder="1" applyAlignment="1" applyProtection="1">
      <alignment horizontal="center" vertical="center"/>
      <protection locked="0"/>
    </xf>
    <xf numFmtId="0" fontId="19" fillId="0" borderId="90" xfId="0" applyFont="1" applyBorder="1" applyAlignment="1">
      <alignment horizontal="center" vertical="center"/>
    </xf>
    <xf numFmtId="0" fontId="19" fillId="0" borderId="94" xfId="0" applyFont="1" applyBorder="1" applyAlignment="1">
      <alignment horizontal="center" vertical="center"/>
    </xf>
    <xf numFmtId="0" fontId="8" fillId="0" borderId="41" xfId="0" applyFont="1" applyBorder="1" applyAlignment="1" applyProtection="1">
      <alignment vertical="center" wrapText="1"/>
      <protection locked="0"/>
    </xf>
    <xf numFmtId="0" fontId="23" fillId="0" borderId="88" xfId="0" applyFont="1" applyBorder="1" applyAlignment="1" applyProtection="1">
      <alignment horizontal="center" vertical="center"/>
      <protection locked="0"/>
    </xf>
  </cellXfs>
  <cellStyles count="4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標準" xfId="0" builtinId="0"/>
  </cellStyles>
  <dxfs count="12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B1:BJ194"/>
  <sheetViews>
    <sheetView showGridLines="0" tabSelected="1" view="pageBreakPreview" zoomScaleNormal="100" zoomScaleSheetLayoutView="100" workbookViewId="0">
      <selection activeCell="AZ29" sqref="AZ29:AZ34"/>
    </sheetView>
  </sheetViews>
  <sheetFormatPr defaultColWidth="1.625" defaultRowHeight="8.25" customHeight="1" x14ac:dyDescent="0.15"/>
  <cols>
    <col min="1" max="1" width="0.625" customWidth="1"/>
    <col min="2" max="2" width="3.125" customWidth="1"/>
    <col min="3" max="30" width="1.625" customWidth="1"/>
    <col min="31" max="31" width="2.125" customWidth="1"/>
    <col min="32" max="51" width="1.625" customWidth="1"/>
    <col min="52" max="59" width="2.125" customWidth="1"/>
    <col min="60" max="60" width="3.625" hidden="1" customWidth="1"/>
    <col min="61" max="61" width="0.875" customWidth="1"/>
    <col min="62" max="64" width="1.625" customWidth="1"/>
  </cols>
  <sheetData>
    <row r="1" spans="2:62" ht="3.75" customHeight="1" x14ac:dyDescent="0.2">
      <c r="B1" s="1"/>
      <c r="C1" s="1"/>
      <c r="D1" s="4"/>
      <c r="E1" s="4"/>
      <c r="F1" s="4"/>
      <c r="G1" s="4"/>
      <c r="H1" s="4"/>
      <c r="I1" s="4"/>
      <c r="J1" s="1"/>
      <c r="K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1"/>
      <c r="BB1" s="1"/>
      <c r="BC1" s="1"/>
      <c r="BD1" s="1"/>
      <c r="BE1" s="1"/>
      <c r="BF1" s="1"/>
      <c r="BG1" s="1"/>
    </row>
    <row r="2" spans="2:62" ht="19.5" customHeight="1" x14ac:dyDescent="0.25">
      <c r="B2" s="6"/>
      <c r="C2" s="6"/>
      <c r="D2" s="143">
        <v>22910</v>
      </c>
      <c r="E2" s="143"/>
      <c r="F2" s="143"/>
      <c r="G2" s="143"/>
      <c r="H2" s="143"/>
      <c r="I2" s="143"/>
      <c r="J2" s="7"/>
      <c r="K2" s="7"/>
      <c r="L2" s="196" t="s">
        <v>73</v>
      </c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4"/>
      <c r="AN2" s="194"/>
      <c r="AO2" s="194"/>
      <c r="AP2" s="216" t="s">
        <v>74</v>
      </c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</row>
    <row r="3" spans="2:62" ht="7.5" customHeight="1" x14ac:dyDescent="0.15">
      <c r="B3" s="251" t="s">
        <v>61</v>
      </c>
      <c r="C3" s="251"/>
      <c r="D3" s="143"/>
      <c r="E3" s="143"/>
      <c r="F3" s="143"/>
      <c r="G3" s="143"/>
      <c r="H3" s="143"/>
      <c r="I3" s="143"/>
      <c r="J3" s="7"/>
      <c r="K3" s="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4"/>
      <c r="AN3" s="194"/>
      <c r="AO3" s="194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</row>
    <row r="4" spans="2:62" ht="7.5" customHeight="1" x14ac:dyDescent="0.15">
      <c r="B4" s="252"/>
      <c r="C4" s="252"/>
      <c r="D4" s="144"/>
      <c r="E4" s="144"/>
      <c r="F4" s="144"/>
      <c r="G4" s="144"/>
      <c r="H4" s="144"/>
      <c r="I4" s="144"/>
      <c r="J4" s="7"/>
      <c r="K4" s="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4"/>
      <c r="AN4" s="194"/>
      <c r="AO4" s="194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</row>
    <row r="5" spans="2:62" ht="7.5" customHeight="1" thickBot="1" x14ac:dyDescent="0.2">
      <c r="B5" s="8"/>
      <c r="C5" s="8"/>
      <c r="D5" s="8"/>
      <c r="E5" s="8"/>
      <c r="F5" s="8"/>
      <c r="G5" s="8"/>
      <c r="H5" s="8"/>
      <c r="I5" s="8"/>
      <c r="J5" s="8"/>
      <c r="K5" s="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5"/>
      <c r="AN5" s="195"/>
      <c r="AO5" s="195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</row>
    <row r="6" spans="2:62" ht="7.5" customHeight="1" x14ac:dyDescent="0.15">
      <c r="B6" s="145" t="s">
        <v>11</v>
      </c>
      <c r="C6" s="146"/>
      <c r="D6" s="146"/>
      <c r="E6" s="147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4"/>
      <c r="AA6" s="111" t="s">
        <v>3</v>
      </c>
      <c r="AB6" s="106"/>
      <c r="AC6" s="106"/>
      <c r="AD6" s="106"/>
      <c r="AE6" s="107"/>
      <c r="AF6" s="180" t="s">
        <v>2</v>
      </c>
      <c r="AG6" s="181"/>
      <c r="AH6" s="181"/>
      <c r="AI6" s="181"/>
      <c r="AJ6" s="182"/>
      <c r="AK6" s="111" t="s">
        <v>10</v>
      </c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200"/>
    </row>
    <row r="7" spans="2:62" ht="7.5" customHeight="1" x14ac:dyDescent="0.15">
      <c r="B7" s="148"/>
      <c r="C7" s="149"/>
      <c r="D7" s="149"/>
      <c r="E7" s="150"/>
      <c r="F7" s="175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7"/>
      <c r="AA7" s="186"/>
      <c r="AB7" s="187"/>
      <c r="AC7" s="187"/>
      <c r="AD7" s="187"/>
      <c r="AE7" s="188"/>
      <c r="AF7" s="183"/>
      <c r="AG7" s="184"/>
      <c r="AH7" s="184"/>
      <c r="AI7" s="184"/>
      <c r="AJ7" s="185"/>
      <c r="AK7" s="201"/>
      <c r="AL7" s="202"/>
      <c r="AM7" s="202"/>
      <c r="AN7" s="202"/>
      <c r="AO7" s="202"/>
      <c r="AP7" s="202"/>
      <c r="AQ7" s="202"/>
      <c r="AR7" s="202"/>
      <c r="AS7" s="202"/>
      <c r="AT7" s="202"/>
      <c r="AU7" s="202"/>
      <c r="AV7" s="202"/>
      <c r="AW7" s="202"/>
      <c r="AX7" s="202"/>
      <c r="AY7" s="202"/>
      <c r="AZ7" s="202"/>
      <c r="BA7" s="202"/>
      <c r="BB7" s="202"/>
      <c r="BC7" s="202"/>
      <c r="BD7" s="202"/>
      <c r="BE7" s="202"/>
      <c r="BF7" s="202"/>
      <c r="BG7" s="203"/>
      <c r="BH7" s="9"/>
    </row>
    <row r="8" spans="2:62" ht="7.5" customHeight="1" x14ac:dyDescent="0.15">
      <c r="B8" s="148"/>
      <c r="C8" s="149"/>
      <c r="D8" s="149"/>
      <c r="E8" s="150"/>
      <c r="F8" s="207" t="s">
        <v>33</v>
      </c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9"/>
      <c r="AA8" s="189" t="s">
        <v>34</v>
      </c>
      <c r="AB8" s="189"/>
      <c r="AC8" s="189"/>
      <c r="AD8" s="189"/>
      <c r="AE8" s="189"/>
      <c r="AF8" s="240">
        <f ca="1">DATEDIF(BH8,TODAY(),"y")</f>
        <v>23</v>
      </c>
      <c r="AG8" s="241"/>
      <c r="AH8" s="241"/>
      <c r="AI8" s="241"/>
      <c r="AJ8" s="242"/>
      <c r="AK8" s="219" t="s">
        <v>75</v>
      </c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  <c r="BB8" s="220"/>
      <c r="BC8" s="220"/>
      <c r="BD8" s="220"/>
      <c r="BE8" s="220"/>
      <c r="BF8" s="220"/>
      <c r="BG8" s="221"/>
      <c r="BH8" s="63">
        <v>37545</v>
      </c>
      <c r="BI8" s="5"/>
      <c r="BJ8" s="5"/>
    </row>
    <row r="9" spans="2:62" ht="7.5" customHeight="1" x14ac:dyDescent="0.15">
      <c r="B9" s="148"/>
      <c r="C9" s="149"/>
      <c r="D9" s="149"/>
      <c r="E9" s="150"/>
      <c r="F9" s="210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2"/>
      <c r="AA9" s="190"/>
      <c r="AB9" s="190"/>
      <c r="AC9" s="190"/>
      <c r="AD9" s="190"/>
      <c r="AE9" s="190"/>
      <c r="AF9" s="243"/>
      <c r="AG9" s="244"/>
      <c r="AH9" s="244"/>
      <c r="AI9" s="244"/>
      <c r="AJ9" s="245"/>
      <c r="AK9" s="222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4"/>
      <c r="BH9" s="63"/>
      <c r="BI9" s="5"/>
      <c r="BJ9" s="5"/>
    </row>
    <row r="10" spans="2:62" ht="7.5" customHeight="1" x14ac:dyDescent="0.15">
      <c r="B10" s="151"/>
      <c r="C10" s="152"/>
      <c r="D10" s="152"/>
      <c r="E10" s="153"/>
      <c r="F10" s="213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5"/>
      <c r="AA10" s="191"/>
      <c r="AB10" s="191"/>
      <c r="AC10" s="191"/>
      <c r="AD10" s="191"/>
      <c r="AE10" s="191"/>
      <c r="AF10" s="246"/>
      <c r="AG10" s="247"/>
      <c r="AH10" s="247"/>
      <c r="AI10" s="247"/>
      <c r="AJ10" s="248"/>
      <c r="AK10" s="222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4"/>
      <c r="BH10" s="63"/>
      <c r="BI10" s="5"/>
      <c r="BJ10" s="5"/>
    </row>
    <row r="11" spans="2:62" ht="7.5" customHeight="1" x14ac:dyDescent="0.15">
      <c r="B11" s="142" t="s">
        <v>8</v>
      </c>
      <c r="C11" s="137"/>
      <c r="D11" s="137"/>
      <c r="E11" s="137"/>
      <c r="F11" s="154" t="s">
        <v>58</v>
      </c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222"/>
      <c r="AL11" s="223"/>
      <c r="AM11" s="223"/>
      <c r="AN11" s="223"/>
      <c r="AO11" s="223"/>
      <c r="AP11" s="223"/>
      <c r="AQ11" s="223"/>
      <c r="AR11" s="223"/>
      <c r="AS11" s="223"/>
      <c r="AT11" s="223"/>
      <c r="AU11" s="223"/>
      <c r="AV11" s="223"/>
      <c r="AW11" s="223"/>
      <c r="AX11" s="223"/>
      <c r="AY11" s="223"/>
      <c r="AZ11" s="223"/>
      <c r="BA11" s="223"/>
      <c r="BB11" s="223"/>
      <c r="BC11" s="223"/>
      <c r="BD11" s="223"/>
      <c r="BE11" s="223"/>
      <c r="BF11" s="223"/>
      <c r="BG11" s="224"/>
      <c r="BH11" s="63"/>
      <c r="BI11" s="5"/>
      <c r="BJ11" s="5"/>
    </row>
    <row r="12" spans="2:62" ht="7.5" customHeight="1" x14ac:dyDescent="0.15">
      <c r="B12" s="142"/>
      <c r="C12" s="137"/>
      <c r="D12" s="137"/>
      <c r="E12" s="137"/>
      <c r="F12" s="156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222"/>
      <c r="AL12" s="223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3"/>
      <c r="AX12" s="223"/>
      <c r="AY12" s="223"/>
      <c r="AZ12" s="223"/>
      <c r="BA12" s="223"/>
      <c r="BB12" s="223"/>
      <c r="BC12" s="223"/>
      <c r="BD12" s="223"/>
      <c r="BE12" s="223"/>
      <c r="BF12" s="223"/>
      <c r="BG12" s="224"/>
      <c r="BH12" s="63"/>
      <c r="BI12" s="5"/>
      <c r="BJ12" s="5"/>
    </row>
    <row r="13" spans="2:62" ht="7.5" customHeight="1" x14ac:dyDescent="0.15">
      <c r="B13" s="142"/>
      <c r="C13" s="137"/>
      <c r="D13" s="137"/>
      <c r="E13" s="137"/>
      <c r="F13" s="156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222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4"/>
    </row>
    <row r="14" spans="2:62" ht="7.5" customHeight="1" x14ac:dyDescent="0.15">
      <c r="B14" s="142"/>
      <c r="C14" s="137"/>
      <c r="D14" s="137"/>
      <c r="E14" s="137"/>
      <c r="F14" s="158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222"/>
      <c r="AL14" s="223"/>
      <c r="AM14" s="223"/>
      <c r="AN14" s="223"/>
      <c r="AO14" s="223"/>
      <c r="AP14" s="223"/>
      <c r="AQ14" s="223"/>
      <c r="AR14" s="223"/>
      <c r="AS14" s="223"/>
      <c r="AT14" s="223"/>
      <c r="AU14" s="223"/>
      <c r="AV14" s="223"/>
      <c r="AW14" s="223"/>
      <c r="AX14" s="223"/>
      <c r="AY14" s="223"/>
      <c r="AZ14" s="223"/>
      <c r="BA14" s="223"/>
      <c r="BB14" s="223"/>
      <c r="BC14" s="223"/>
      <c r="BD14" s="223"/>
      <c r="BE14" s="223"/>
      <c r="BF14" s="223"/>
      <c r="BG14" s="224"/>
    </row>
    <row r="15" spans="2:62" ht="7.5" customHeight="1" x14ac:dyDescent="0.15">
      <c r="B15" s="142" t="s">
        <v>1</v>
      </c>
      <c r="C15" s="137"/>
      <c r="D15" s="137"/>
      <c r="E15" s="137"/>
      <c r="F15" s="154" t="s">
        <v>57</v>
      </c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66" t="s">
        <v>28</v>
      </c>
      <c r="T15" s="166"/>
      <c r="U15" s="204"/>
      <c r="V15" s="155" t="s">
        <v>56</v>
      </c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66" t="s">
        <v>4</v>
      </c>
      <c r="AI15" s="166"/>
      <c r="AJ15" s="167"/>
      <c r="AK15" s="222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  <c r="BB15" s="223"/>
      <c r="BC15" s="223"/>
      <c r="BD15" s="223"/>
      <c r="BE15" s="223"/>
      <c r="BF15" s="223"/>
      <c r="BG15" s="224"/>
    </row>
    <row r="16" spans="2:62" ht="7.5" customHeight="1" x14ac:dyDescent="0.15">
      <c r="B16" s="142"/>
      <c r="C16" s="137"/>
      <c r="D16" s="137"/>
      <c r="E16" s="137"/>
      <c r="F16" s="156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68"/>
      <c r="T16" s="168"/>
      <c r="U16" s="205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68"/>
      <c r="AI16" s="168"/>
      <c r="AJ16" s="169"/>
      <c r="AK16" s="222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4"/>
    </row>
    <row r="17" spans="2:60" ht="7.5" customHeight="1" x14ac:dyDescent="0.15">
      <c r="B17" s="142"/>
      <c r="C17" s="137"/>
      <c r="D17" s="137"/>
      <c r="E17" s="137"/>
      <c r="F17" s="158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70"/>
      <c r="T17" s="170"/>
      <c r="U17" s="206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70"/>
      <c r="AI17" s="170"/>
      <c r="AJ17" s="171"/>
      <c r="AK17" s="225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7"/>
    </row>
    <row r="18" spans="2:60" ht="7.5" customHeight="1" x14ac:dyDescent="0.15">
      <c r="B18" s="142" t="s">
        <v>9</v>
      </c>
      <c r="C18" s="137"/>
      <c r="D18" s="137"/>
      <c r="E18" s="137"/>
      <c r="F18" s="154" t="s">
        <v>35</v>
      </c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60" t="s">
        <v>25</v>
      </c>
      <c r="AF18" s="160"/>
      <c r="AG18" s="160"/>
      <c r="AH18" s="160"/>
      <c r="AI18" s="160"/>
      <c r="AJ18" s="161"/>
      <c r="AK18" s="228" t="s">
        <v>27</v>
      </c>
      <c r="AL18" s="229"/>
      <c r="AM18" s="187"/>
      <c r="AN18" s="187"/>
      <c r="AO18" s="188"/>
      <c r="AP18" s="74" t="s">
        <v>62</v>
      </c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6"/>
      <c r="BB18" s="64" t="s">
        <v>30</v>
      </c>
      <c r="BC18" s="65"/>
      <c r="BD18" s="65"/>
      <c r="BE18" s="68" t="s">
        <v>47</v>
      </c>
      <c r="BF18" s="68"/>
      <c r="BG18" s="69"/>
      <c r="BH18" s="10"/>
    </row>
    <row r="19" spans="2:60" ht="7.5" customHeight="1" x14ac:dyDescent="0.15">
      <c r="B19" s="142"/>
      <c r="C19" s="137"/>
      <c r="D19" s="137"/>
      <c r="E19" s="137"/>
      <c r="F19" s="156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62"/>
      <c r="AF19" s="162"/>
      <c r="AG19" s="162"/>
      <c r="AH19" s="162"/>
      <c r="AI19" s="162"/>
      <c r="AJ19" s="163"/>
      <c r="AK19" s="186"/>
      <c r="AL19" s="187"/>
      <c r="AM19" s="187"/>
      <c r="AN19" s="187"/>
      <c r="AO19" s="188"/>
      <c r="AP19" s="77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9"/>
      <c r="BB19" s="66"/>
      <c r="BC19" s="66"/>
      <c r="BD19" s="66"/>
      <c r="BE19" s="70"/>
      <c r="BF19" s="70"/>
      <c r="BG19" s="71"/>
      <c r="BH19" s="10"/>
    </row>
    <row r="20" spans="2:60" ht="7.5" customHeight="1" thickBot="1" x14ac:dyDescent="0.2">
      <c r="B20" s="249"/>
      <c r="C20" s="250"/>
      <c r="D20" s="250"/>
      <c r="E20" s="250"/>
      <c r="F20" s="178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64"/>
      <c r="AF20" s="164"/>
      <c r="AG20" s="164"/>
      <c r="AH20" s="164"/>
      <c r="AI20" s="164"/>
      <c r="AJ20" s="165"/>
      <c r="AK20" s="230"/>
      <c r="AL20" s="231"/>
      <c r="AM20" s="231"/>
      <c r="AN20" s="231"/>
      <c r="AO20" s="232"/>
      <c r="AP20" s="80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2"/>
      <c r="BB20" s="67"/>
      <c r="BC20" s="67"/>
      <c r="BD20" s="67"/>
      <c r="BE20" s="72"/>
      <c r="BF20" s="72"/>
      <c r="BG20" s="73"/>
      <c r="BH20" s="10"/>
    </row>
    <row r="21" spans="2:60" s="3" customFormat="1" ht="7.5" customHeight="1" x14ac:dyDescent="0.15">
      <c r="B21" s="192"/>
      <c r="C21" s="133" t="s">
        <v>17</v>
      </c>
      <c r="D21" s="136"/>
      <c r="E21" s="136"/>
      <c r="F21" s="136"/>
      <c r="G21" s="136"/>
      <c r="H21" s="136"/>
      <c r="I21" s="121" t="s">
        <v>0</v>
      </c>
      <c r="J21" s="122"/>
      <c r="K21" s="123"/>
      <c r="L21" s="133" t="s">
        <v>29</v>
      </c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 t="s">
        <v>18</v>
      </c>
      <c r="AG21" s="133"/>
      <c r="AH21" s="133"/>
      <c r="AI21" s="133"/>
      <c r="AJ21" s="133"/>
      <c r="AK21" s="133"/>
      <c r="AL21" s="133"/>
      <c r="AM21" s="133"/>
      <c r="AN21" s="133"/>
      <c r="AO21" s="133"/>
      <c r="AP21" s="133" t="s">
        <v>36</v>
      </c>
      <c r="AQ21" s="133"/>
      <c r="AR21" s="133"/>
      <c r="AS21" s="133"/>
      <c r="AT21" s="133"/>
      <c r="AU21" s="133"/>
      <c r="AV21" s="133"/>
      <c r="AW21" s="133"/>
      <c r="AX21" s="133"/>
      <c r="AY21" s="133"/>
      <c r="AZ21" s="111" t="s">
        <v>19</v>
      </c>
      <c r="BA21" s="106"/>
      <c r="BB21" s="106"/>
      <c r="BC21" s="106"/>
      <c r="BD21" s="106"/>
      <c r="BE21" s="106"/>
      <c r="BF21" s="106"/>
      <c r="BG21" s="112"/>
      <c r="BH21" s="11"/>
    </row>
    <row r="22" spans="2:60" s="3" customFormat="1" ht="7.5" customHeight="1" x14ac:dyDescent="0.15">
      <c r="B22" s="193"/>
      <c r="C22" s="137"/>
      <c r="D22" s="137"/>
      <c r="E22" s="137"/>
      <c r="F22" s="137"/>
      <c r="G22" s="137"/>
      <c r="H22" s="137"/>
      <c r="I22" s="124"/>
      <c r="J22" s="125"/>
      <c r="K22" s="126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13"/>
      <c r="BA22" s="109"/>
      <c r="BB22" s="109"/>
      <c r="BC22" s="109"/>
      <c r="BD22" s="109"/>
      <c r="BE22" s="109"/>
      <c r="BF22" s="109"/>
      <c r="BG22" s="114"/>
      <c r="BH22" s="11"/>
    </row>
    <row r="23" spans="2:60" s="3" customFormat="1" ht="7.5" customHeight="1" x14ac:dyDescent="0.15">
      <c r="B23" s="193"/>
      <c r="C23" s="137"/>
      <c r="D23" s="137"/>
      <c r="E23" s="137"/>
      <c r="F23" s="137"/>
      <c r="G23" s="137"/>
      <c r="H23" s="137"/>
      <c r="I23" s="124"/>
      <c r="J23" s="125"/>
      <c r="K23" s="126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233" t="s">
        <v>6</v>
      </c>
      <c r="BA23" s="234"/>
      <c r="BB23" s="234"/>
      <c r="BC23" s="234"/>
      <c r="BD23" s="234"/>
      <c r="BE23" s="234"/>
      <c r="BF23" s="234"/>
      <c r="BG23" s="235"/>
      <c r="BH23" s="11"/>
    </row>
    <row r="24" spans="2:60" s="3" customFormat="1" ht="7.5" customHeight="1" x14ac:dyDescent="0.15">
      <c r="B24" s="193"/>
      <c r="C24" s="137"/>
      <c r="D24" s="137"/>
      <c r="E24" s="137"/>
      <c r="F24" s="137"/>
      <c r="G24" s="137"/>
      <c r="H24" s="137"/>
      <c r="I24" s="124"/>
      <c r="J24" s="125"/>
      <c r="K24" s="126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236"/>
      <c r="BA24" s="237"/>
      <c r="BB24" s="237"/>
      <c r="BC24" s="237"/>
      <c r="BD24" s="237"/>
      <c r="BE24" s="237"/>
      <c r="BF24" s="237"/>
      <c r="BG24" s="238"/>
      <c r="BH24" s="11"/>
    </row>
    <row r="25" spans="2:60" s="3" customFormat="1" ht="7.5" customHeight="1" x14ac:dyDescent="0.15">
      <c r="B25" s="193"/>
      <c r="C25" s="137"/>
      <c r="D25" s="137"/>
      <c r="E25" s="137"/>
      <c r="F25" s="137"/>
      <c r="G25" s="137"/>
      <c r="H25" s="137"/>
      <c r="I25" s="124"/>
      <c r="J25" s="125"/>
      <c r="K25" s="126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15" t="s">
        <v>7</v>
      </c>
      <c r="BA25" s="116"/>
      <c r="BB25" s="116"/>
      <c r="BC25" s="116"/>
      <c r="BD25" s="116"/>
      <c r="BE25" s="116"/>
      <c r="BF25" s="116"/>
      <c r="BG25" s="117"/>
      <c r="BH25" s="11"/>
    </row>
    <row r="26" spans="2:60" s="3" customFormat="1" ht="7.5" customHeight="1" thickBot="1" x14ac:dyDescent="0.2">
      <c r="B26" s="193"/>
      <c r="C26" s="138"/>
      <c r="D26" s="138"/>
      <c r="E26" s="138"/>
      <c r="F26" s="138"/>
      <c r="G26" s="138"/>
      <c r="H26" s="138"/>
      <c r="I26" s="127"/>
      <c r="J26" s="128"/>
      <c r="K26" s="129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18"/>
      <c r="BA26" s="119"/>
      <c r="BB26" s="119"/>
      <c r="BC26" s="119"/>
      <c r="BD26" s="119"/>
      <c r="BE26" s="119"/>
      <c r="BF26" s="119"/>
      <c r="BG26" s="120"/>
      <c r="BH26" s="11"/>
    </row>
    <row r="27" spans="2:60" ht="7.7" customHeight="1" thickTop="1" x14ac:dyDescent="0.15">
      <c r="B27" s="83">
        <v>1</v>
      </c>
      <c r="C27" s="130">
        <v>44075</v>
      </c>
      <c r="D27" s="131"/>
      <c r="E27" s="131"/>
      <c r="F27" s="131"/>
      <c r="G27" s="131"/>
      <c r="H27" s="132"/>
      <c r="I27" s="139">
        <f>IF(C34="","",(DATEDIF(C27,C34,"ｍ")+1))</f>
        <v>44</v>
      </c>
      <c r="J27" s="140"/>
      <c r="K27" s="141"/>
      <c r="L27" s="37" t="s">
        <v>76</v>
      </c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239" t="s">
        <v>37</v>
      </c>
      <c r="AG27" s="239"/>
      <c r="AH27" s="239"/>
      <c r="AI27" s="239"/>
      <c r="AJ27" s="239"/>
      <c r="AK27" s="239"/>
      <c r="AL27" s="239"/>
      <c r="AM27" s="239"/>
      <c r="AN27" s="239"/>
      <c r="AO27" s="239"/>
      <c r="AP27" s="239" t="s">
        <v>49</v>
      </c>
      <c r="AQ27" s="239"/>
      <c r="AR27" s="239"/>
      <c r="AS27" s="239"/>
      <c r="AT27" s="239"/>
      <c r="AU27" s="239"/>
      <c r="AV27" s="239"/>
      <c r="AW27" s="239"/>
      <c r="AX27" s="239"/>
      <c r="AY27" s="239"/>
      <c r="AZ27" s="38"/>
      <c r="BA27" s="15"/>
      <c r="BB27" s="15"/>
      <c r="BC27" s="15"/>
      <c r="BD27" s="15"/>
      <c r="BE27" s="15"/>
      <c r="BF27" s="15"/>
      <c r="BG27" s="17" t="s">
        <v>32</v>
      </c>
    </row>
    <row r="28" spans="2:60" ht="7.7" customHeight="1" x14ac:dyDescent="0.15">
      <c r="B28" s="13"/>
      <c r="C28" s="28"/>
      <c r="D28" s="29"/>
      <c r="E28" s="29"/>
      <c r="F28" s="29"/>
      <c r="G28" s="29"/>
      <c r="H28" s="30"/>
      <c r="I28" s="31"/>
      <c r="J28" s="32"/>
      <c r="K28" s="33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9"/>
      <c r="BA28" s="16"/>
      <c r="BB28" s="16"/>
      <c r="BC28" s="16"/>
      <c r="BD28" s="16"/>
      <c r="BE28" s="16"/>
      <c r="BF28" s="16"/>
      <c r="BG28" s="18"/>
    </row>
    <row r="29" spans="2:60" ht="10.15" customHeight="1" x14ac:dyDescent="0.15">
      <c r="B29" s="13"/>
      <c r="C29" s="28"/>
      <c r="D29" s="29"/>
      <c r="E29" s="29"/>
      <c r="F29" s="29"/>
      <c r="G29" s="29"/>
      <c r="H29" s="30"/>
      <c r="I29" s="31"/>
      <c r="J29" s="32"/>
      <c r="K29" s="33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19" t="s">
        <v>26</v>
      </c>
      <c r="BA29" s="22" t="s">
        <v>13</v>
      </c>
      <c r="BB29" s="22" t="s">
        <v>20</v>
      </c>
      <c r="BC29" s="22" t="s">
        <v>21</v>
      </c>
      <c r="BD29" s="22" t="s">
        <v>22</v>
      </c>
      <c r="BE29" s="22" t="s">
        <v>14</v>
      </c>
      <c r="BF29" s="22" t="s">
        <v>15</v>
      </c>
      <c r="BG29" s="25" t="s">
        <v>16</v>
      </c>
    </row>
    <row r="30" spans="2:60" ht="10.15" customHeight="1" x14ac:dyDescent="0.15">
      <c r="B30" s="13"/>
      <c r="C30" s="28"/>
      <c r="D30" s="29"/>
      <c r="E30" s="29"/>
      <c r="F30" s="29"/>
      <c r="G30" s="29"/>
      <c r="H30" s="30"/>
      <c r="I30" s="31"/>
      <c r="J30" s="32"/>
      <c r="K30" s="33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20"/>
      <c r="BA30" s="23"/>
      <c r="BB30" s="23"/>
      <c r="BC30" s="23"/>
      <c r="BD30" s="23"/>
      <c r="BE30" s="23"/>
      <c r="BF30" s="23"/>
      <c r="BG30" s="26"/>
    </row>
    <row r="31" spans="2:60" ht="10.15" customHeight="1" x14ac:dyDescent="0.15">
      <c r="B31" s="13"/>
      <c r="C31" s="28"/>
      <c r="D31" s="29"/>
      <c r="E31" s="29"/>
      <c r="F31" s="29"/>
      <c r="G31" s="29"/>
      <c r="H31" s="30"/>
      <c r="I31" s="31"/>
      <c r="J31" s="32"/>
      <c r="K31" s="33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20"/>
      <c r="BA31" s="23"/>
      <c r="BB31" s="23"/>
      <c r="BC31" s="23"/>
      <c r="BD31" s="23"/>
      <c r="BE31" s="23"/>
      <c r="BF31" s="23"/>
      <c r="BG31" s="26"/>
    </row>
    <row r="32" spans="2:60" ht="10.15" customHeight="1" x14ac:dyDescent="0.15">
      <c r="B32" s="13"/>
      <c r="C32" s="40" t="s">
        <v>23</v>
      </c>
      <c r="D32" s="41"/>
      <c r="E32" s="41"/>
      <c r="F32" s="41"/>
      <c r="G32" s="41"/>
      <c r="H32" s="42"/>
      <c r="I32" s="31"/>
      <c r="J32" s="32"/>
      <c r="K32" s="33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20"/>
      <c r="BA32" s="23"/>
      <c r="BB32" s="23"/>
      <c r="BC32" s="23"/>
      <c r="BD32" s="23"/>
      <c r="BE32" s="23"/>
      <c r="BF32" s="23"/>
      <c r="BG32" s="26"/>
    </row>
    <row r="33" spans="2:59" ht="10.15" customHeight="1" x14ac:dyDescent="0.15">
      <c r="B33" s="13"/>
      <c r="C33" s="40"/>
      <c r="D33" s="41"/>
      <c r="E33" s="41"/>
      <c r="F33" s="41"/>
      <c r="G33" s="41"/>
      <c r="H33" s="42"/>
      <c r="I33" s="31"/>
      <c r="J33" s="32"/>
      <c r="K33" s="33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20"/>
      <c r="BA33" s="23"/>
      <c r="BB33" s="23"/>
      <c r="BC33" s="23"/>
      <c r="BD33" s="23"/>
      <c r="BE33" s="23"/>
      <c r="BF33" s="23"/>
      <c r="BG33" s="26"/>
    </row>
    <row r="34" spans="2:59" ht="10.15" customHeight="1" x14ac:dyDescent="0.15">
      <c r="B34" s="13"/>
      <c r="C34" s="28">
        <v>45383</v>
      </c>
      <c r="D34" s="29"/>
      <c r="E34" s="29"/>
      <c r="F34" s="29"/>
      <c r="G34" s="29"/>
      <c r="H34" s="30"/>
      <c r="I34" s="46" t="s">
        <v>12</v>
      </c>
      <c r="J34" s="47"/>
      <c r="K34" s="48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21"/>
      <c r="BA34" s="24"/>
      <c r="BB34" s="24"/>
      <c r="BC34" s="24"/>
      <c r="BD34" s="24"/>
      <c r="BE34" s="24"/>
      <c r="BF34" s="24"/>
      <c r="BG34" s="27"/>
    </row>
    <row r="35" spans="2:59" ht="7.7" customHeight="1" x14ac:dyDescent="0.15">
      <c r="B35" s="13"/>
      <c r="C35" s="28"/>
      <c r="D35" s="29"/>
      <c r="E35" s="29"/>
      <c r="F35" s="29"/>
      <c r="G35" s="29"/>
      <c r="H35" s="30"/>
      <c r="I35" s="46"/>
      <c r="J35" s="47"/>
      <c r="K35" s="48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52"/>
      <c r="BA35" s="53"/>
      <c r="BB35" s="53"/>
      <c r="BC35" s="53"/>
      <c r="BD35" s="53"/>
      <c r="BE35" s="53"/>
      <c r="BF35" s="53"/>
      <c r="BG35" s="54"/>
    </row>
    <row r="36" spans="2:59" ht="7.7" customHeight="1" x14ac:dyDescent="0.15">
      <c r="B36" s="13"/>
      <c r="C36" s="28"/>
      <c r="D36" s="29"/>
      <c r="E36" s="29"/>
      <c r="F36" s="29"/>
      <c r="G36" s="29"/>
      <c r="H36" s="30"/>
      <c r="I36" s="46"/>
      <c r="J36" s="47"/>
      <c r="K36" s="48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55"/>
      <c r="BA36" s="56"/>
      <c r="BB36" s="56"/>
      <c r="BC36" s="56"/>
      <c r="BD36" s="56"/>
      <c r="BE36" s="56"/>
      <c r="BF36" s="56"/>
      <c r="BG36" s="57"/>
    </row>
    <row r="37" spans="2:59" ht="7.7" customHeight="1" x14ac:dyDescent="0.15">
      <c r="B37" s="13"/>
      <c r="C37" s="28"/>
      <c r="D37" s="29"/>
      <c r="E37" s="29"/>
      <c r="F37" s="29"/>
      <c r="G37" s="29"/>
      <c r="H37" s="30"/>
      <c r="I37" s="46"/>
      <c r="J37" s="47"/>
      <c r="K37" s="48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55"/>
      <c r="BA37" s="56"/>
      <c r="BB37" s="56"/>
      <c r="BC37" s="56"/>
      <c r="BD37" s="56"/>
      <c r="BE37" s="56"/>
      <c r="BF37" s="56"/>
      <c r="BG37" s="57"/>
    </row>
    <row r="38" spans="2:59" ht="7.7" customHeight="1" x14ac:dyDescent="0.15">
      <c r="B38" s="14"/>
      <c r="C38" s="28"/>
      <c r="D38" s="29"/>
      <c r="E38" s="29"/>
      <c r="F38" s="29"/>
      <c r="G38" s="29"/>
      <c r="H38" s="30"/>
      <c r="I38" s="46"/>
      <c r="J38" s="47"/>
      <c r="K38" s="48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58"/>
      <c r="BA38" s="59"/>
      <c r="BB38" s="59"/>
      <c r="BC38" s="59"/>
      <c r="BD38" s="59"/>
      <c r="BE38" s="59"/>
      <c r="BF38" s="59"/>
      <c r="BG38" s="60"/>
    </row>
    <row r="39" spans="2:59" ht="7.7" customHeight="1" x14ac:dyDescent="0.15">
      <c r="B39" s="12">
        <v>2</v>
      </c>
      <c r="C39" s="84">
        <v>44743</v>
      </c>
      <c r="D39" s="85"/>
      <c r="E39" s="85"/>
      <c r="F39" s="85"/>
      <c r="G39" s="85"/>
      <c r="H39" s="86"/>
      <c r="I39" s="87">
        <f>IF(C46="","",(DATEDIF(C39,C46,"ｍ")+1))</f>
        <v>2</v>
      </c>
      <c r="J39" s="88"/>
      <c r="K39" s="89"/>
      <c r="L39" s="37" t="s">
        <v>77</v>
      </c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 t="s">
        <v>38</v>
      </c>
      <c r="AG39" s="37"/>
      <c r="AH39" s="37"/>
      <c r="AI39" s="37"/>
      <c r="AJ39" s="37"/>
      <c r="AK39" s="37"/>
      <c r="AL39" s="37"/>
      <c r="AM39" s="37"/>
      <c r="AN39" s="37"/>
      <c r="AO39" s="37"/>
      <c r="AP39" s="37" t="s">
        <v>39</v>
      </c>
      <c r="AQ39" s="37"/>
      <c r="AR39" s="37"/>
      <c r="AS39" s="37"/>
      <c r="AT39" s="37"/>
      <c r="AU39" s="37"/>
      <c r="AV39" s="37"/>
      <c r="AW39" s="37"/>
      <c r="AX39" s="37"/>
      <c r="AY39" s="37"/>
      <c r="AZ39" s="38" t="s">
        <v>32</v>
      </c>
      <c r="BA39" s="15" t="s">
        <v>32</v>
      </c>
      <c r="BB39" s="15" t="s">
        <v>32</v>
      </c>
      <c r="BC39" s="15" t="s">
        <v>32</v>
      </c>
      <c r="BD39" s="15"/>
      <c r="BE39" s="15"/>
      <c r="BF39" s="15"/>
      <c r="BG39" s="17"/>
    </row>
    <row r="40" spans="2:59" ht="7.7" customHeight="1" x14ac:dyDescent="0.15">
      <c r="B40" s="13"/>
      <c r="C40" s="28"/>
      <c r="D40" s="29"/>
      <c r="E40" s="29"/>
      <c r="F40" s="29"/>
      <c r="G40" s="29"/>
      <c r="H40" s="30"/>
      <c r="I40" s="31"/>
      <c r="J40" s="32"/>
      <c r="K40" s="33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9"/>
      <c r="BA40" s="16"/>
      <c r="BB40" s="16"/>
      <c r="BC40" s="16"/>
      <c r="BD40" s="16"/>
      <c r="BE40" s="16"/>
      <c r="BF40" s="16"/>
      <c r="BG40" s="18"/>
    </row>
    <row r="41" spans="2:59" ht="7.7" customHeight="1" x14ac:dyDescent="0.15">
      <c r="B41" s="13"/>
      <c r="C41" s="28"/>
      <c r="D41" s="29"/>
      <c r="E41" s="29"/>
      <c r="F41" s="29"/>
      <c r="G41" s="29"/>
      <c r="H41" s="30"/>
      <c r="I41" s="31"/>
      <c r="J41" s="32"/>
      <c r="K41" s="33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19" t="s">
        <v>26</v>
      </c>
      <c r="BA41" s="22" t="s">
        <v>13</v>
      </c>
      <c r="BB41" s="22" t="s">
        <v>20</v>
      </c>
      <c r="BC41" s="22" t="s">
        <v>21</v>
      </c>
      <c r="BD41" s="22" t="s">
        <v>22</v>
      </c>
      <c r="BE41" s="22" t="s">
        <v>14</v>
      </c>
      <c r="BF41" s="22" t="s">
        <v>15</v>
      </c>
      <c r="BG41" s="25" t="s">
        <v>16</v>
      </c>
    </row>
    <row r="42" spans="2:59" ht="7.7" customHeight="1" x14ac:dyDescent="0.15">
      <c r="B42" s="13"/>
      <c r="C42" s="28"/>
      <c r="D42" s="29"/>
      <c r="E42" s="29"/>
      <c r="F42" s="29"/>
      <c r="G42" s="29"/>
      <c r="H42" s="30"/>
      <c r="I42" s="31"/>
      <c r="J42" s="32"/>
      <c r="K42" s="33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20"/>
      <c r="BA42" s="23"/>
      <c r="BB42" s="23"/>
      <c r="BC42" s="23"/>
      <c r="BD42" s="23"/>
      <c r="BE42" s="23"/>
      <c r="BF42" s="23"/>
      <c r="BG42" s="26"/>
    </row>
    <row r="43" spans="2:59" ht="7.7" customHeight="1" x14ac:dyDescent="0.15">
      <c r="B43" s="13"/>
      <c r="C43" s="28"/>
      <c r="D43" s="29"/>
      <c r="E43" s="29"/>
      <c r="F43" s="29"/>
      <c r="G43" s="29"/>
      <c r="H43" s="30"/>
      <c r="I43" s="31"/>
      <c r="J43" s="32"/>
      <c r="K43" s="33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20"/>
      <c r="BA43" s="23"/>
      <c r="BB43" s="23"/>
      <c r="BC43" s="23"/>
      <c r="BD43" s="23"/>
      <c r="BE43" s="23"/>
      <c r="BF43" s="23"/>
      <c r="BG43" s="26"/>
    </row>
    <row r="44" spans="2:59" ht="7.7" customHeight="1" x14ac:dyDescent="0.15">
      <c r="B44" s="13"/>
      <c r="C44" s="40" t="s">
        <v>23</v>
      </c>
      <c r="D44" s="41"/>
      <c r="E44" s="41"/>
      <c r="F44" s="41"/>
      <c r="G44" s="41"/>
      <c r="H44" s="42"/>
      <c r="I44" s="31"/>
      <c r="J44" s="32"/>
      <c r="K44" s="33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20"/>
      <c r="BA44" s="23"/>
      <c r="BB44" s="23"/>
      <c r="BC44" s="23"/>
      <c r="BD44" s="23"/>
      <c r="BE44" s="23"/>
      <c r="BF44" s="23"/>
      <c r="BG44" s="26"/>
    </row>
    <row r="45" spans="2:59" ht="7.7" customHeight="1" x14ac:dyDescent="0.15">
      <c r="B45" s="13"/>
      <c r="C45" s="40"/>
      <c r="D45" s="41"/>
      <c r="E45" s="41"/>
      <c r="F45" s="41"/>
      <c r="G45" s="41"/>
      <c r="H45" s="42"/>
      <c r="I45" s="31"/>
      <c r="J45" s="32"/>
      <c r="K45" s="33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20"/>
      <c r="BA45" s="23"/>
      <c r="BB45" s="23"/>
      <c r="BC45" s="23"/>
      <c r="BD45" s="23"/>
      <c r="BE45" s="23"/>
      <c r="BF45" s="23"/>
      <c r="BG45" s="26"/>
    </row>
    <row r="46" spans="2:59" ht="7.7" customHeight="1" x14ac:dyDescent="0.15">
      <c r="B46" s="13"/>
      <c r="C46" s="28">
        <v>44774</v>
      </c>
      <c r="D46" s="29"/>
      <c r="E46" s="29"/>
      <c r="F46" s="29"/>
      <c r="G46" s="29"/>
      <c r="H46" s="30"/>
      <c r="I46" s="46" t="s">
        <v>12</v>
      </c>
      <c r="J46" s="47"/>
      <c r="K46" s="48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21"/>
      <c r="BA46" s="24"/>
      <c r="BB46" s="24"/>
      <c r="BC46" s="24"/>
      <c r="BD46" s="24"/>
      <c r="BE46" s="24"/>
      <c r="BF46" s="24"/>
      <c r="BG46" s="27"/>
    </row>
    <row r="47" spans="2:59" ht="7.7" customHeight="1" x14ac:dyDescent="0.15">
      <c r="B47" s="13"/>
      <c r="C47" s="28"/>
      <c r="D47" s="29"/>
      <c r="E47" s="29"/>
      <c r="F47" s="29"/>
      <c r="G47" s="29"/>
      <c r="H47" s="30"/>
      <c r="I47" s="46"/>
      <c r="J47" s="47"/>
      <c r="K47" s="48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52"/>
      <c r="BA47" s="53"/>
      <c r="BB47" s="53"/>
      <c r="BC47" s="53"/>
      <c r="BD47" s="53"/>
      <c r="BE47" s="53"/>
      <c r="BF47" s="53"/>
      <c r="BG47" s="54"/>
    </row>
    <row r="48" spans="2:59" ht="7.7" customHeight="1" x14ac:dyDescent="0.15">
      <c r="B48" s="13"/>
      <c r="C48" s="28"/>
      <c r="D48" s="29"/>
      <c r="E48" s="29"/>
      <c r="F48" s="29"/>
      <c r="G48" s="29"/>
      <c r="H48" s="30"/>
      <c r="I48" s="46"/>
      <c r="J48" s="47"/>
      <c r="K48" s="48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55"/>
      <c r="BA48" s="56"/>
      <c r="BB48" s="56"/>
      <c r="BC48" s="56"/>
      <c r="BD48" s="56"/>
      <c r="BE48" s="56"/>
      <c r="BF48" s="56"/>
      <c r="BG48" s="57"/>
    </row>
    <row r="49" spans="2:59" ht="7.7" customHeight="1" x14ac:dyDescent="0.15">
      <c r="B49" s="13"/>
      <c r="C49" s="28"/>
      <c r="D49" s="29"/>
      <c r="E49" s="29"/>
      <c r="F49" s="29"/>
      <c r="G49" s="29"/>
      <c r="H49" s="30"/>
      <c r="I49" s="46"/>
      <c r="J49" s="47"/>
      <c r="K49" s="48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55"/>
      <c r="BA49" s="56"/>
      <c r="BB49" s="56"/>
      <c r="BC49" s="56"/>
      <c r="BD49" s="56"/>
      <c r="BE49" s="56"/>
      <c r="BF49" s="56"/>
      <c r="BG49" s="57"/>
    </row>
    <row r="50" spans="2:59" ht="7.7" customHeight="1" x14ac:dyDescent="0.15">
      <c r="B50" s="14"/>
      <c r="C50" s="43"/>
      <c r="D50" s="44"/>
      <c r="E50" s="44"/>
      <c r="F50" s="44"/>
      <c r="G50" s="44"/>
      <c r="H50" s="45"/>
      <c r="I50" s="49"/>
      <c r="J50" s="50"/>
      <c r="K50" s="51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58"/>
      <c r="BA50" s="59"/>
      <c r="BB50" s="59"/>
      <c r="BC50" s="59"/>
      <c r="BD50" s="59"/>
      <c r="BE50" s="59"/>
      <c r="BF50" s="59"/>
      <c r="BG50" s="60"/>
    </row>
    <row r="51" spans="2:59" ht="7.7" customHeight="1" x14ac:dyDescent="0.15">
      <c r="B51" s="12">
        <v>3</v>
      </c>
      <c r="C51" s="28">
        <v>45170</v>
      </c>
      <c r="D51" s="29"/>
      <c r="E51" s="29"/>
      <c r="F51" s="29"/>
      <c r="G51" s="29"/>
      <c r="H51" s="30"/>
      <c r="I51" s="31">
        <f>IF(C58="","",(DATEDIF(C51,C58,"ｍ")+1))</f>
        <v>2</v>
      </c>
      <c r="J51" s="32"/>
      <c r="K51" s="33"/>
      <c r="L51" s="35" t="s">
        <v>78</v>
      </c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 t="s">
        <v>41</v>
      </c>
      <c r="AG51" s="35"/>
      <c r="AH51" s="35"/>
      <c r="AI51" s="35"/>
      <c r="AJ51" s="35"/>
      <c r="AK51" s="35"/>
      <c r="AL51" s="35"/>
      <c r="AM51" s="35"/>
      <c r="AN51" s="35"/>
      <c r="AO51" s="35"/>
      <c r="AP51" s="35" t="s">
        <v>40</v>
      </c>
      <c r="AQ51" s="35"/>
      <c r="AR51" s="35"/>
      <c r="AS51" s="35"/>
      <c r="AT51" s="35"/>
      <c r="AU51" s="35"/>
      <c r="AV51" s="35"/>
      <c r="AW51" s="35"/>
      <c r="AX51" s="35"/>
      <c r="AY51" s="35"/>
      <c r="AZ51" s="38" t="s">
        <v>32</v>
      </c>
      <c r="BA51" s="15" t="s">
        <v>32</v>
      </c>
      <c r="BB51" s="15" t="s">
        <v>32</v>
      </c>
      <c r="BC51" s="15" t="s">
        <v>32</v>
      </c>
      <c r="BD51" s="15"/>
      <c r="BE51" s="15"/>
      <c r="BF51" s="15"/>
      <c r="BG51" s="17"/>
    </row>
    <row r="52" spans="2:59" ht="7.7" customHeight="1" x14ac:dyDescent="0.15">
      <c r="B52" s="13"/>
      <c r="C52" s="28"/>
      <c r="D52" s="29"/>
      <c r="E52" s="29"/>
      <c r="F52" s="29"/>
      <c r="G52" s="29"/>
      <c r="H52" s="30"/>
      <c r="I52" s="31"/>
      <c r="J52" s="32"/>
      <c r="K52" s="33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9"/>
      <c r="BA52" s="16"/>
      <c r="BB52" s="16"/>
      <c r="BC52" s="16"/>
      <c r="BD52" s="16"/>
      <c r="BE52" s="16"/>
      <c r="BF52" s="16"/>
      <c r="BG52" s="18"/>
    </row>
    <row r="53" spans="2:59" ht="7.7" customHeight="1" x14ac:dyDescent="0.15">
      <c r="B53" s="13"/>
      <c r="C53" s="28"/>
      <c r="D53" s="29"/>
      <c r="E53" s="29"/>
      <c r="F53" s="29"/>
      <c r="G53" s="29"/>
      <c r="H53" s="30"/>
      <c r="I53" s="31"/>
      <c r="J53" s="32"/>
      <c r="K53" s="33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19" t="s">
        <v>26</v>
      </c>
      <c r="BA53" s="22" t="s">
        <v>13</v>
      </c>
      <c r="BB53" s="22" t="s">
        <v>20</v>
      </c>
      <c r="BC53" s="22" t="s">
        <v>21</v>
      </c>
      <c r="BD53" s="22" t="s">
        <v>22</v>
      </c>
      <c r="BE53" s="22" t="s">
        <v>14</v>
      </c>
      <c r="BF53" s="22" t="s">
        <v>15</v>
      </c>
      <c r="BG53" s="25" t="s">
        <v>16</v>
      </c>
    </row>
    <row r="54" spans="2:59" ht="7.7" customHeight="1" x14ac:dyDescent="0.15">
      <c r="B54" s="13"/>
      <c r="C54" s="28"/>
      <c r="D54" s="29"/>
      <c r="E54" s="29"/>
      <c r="F54" s="29"/>
      <c r="G54" s="29"/>
      <c r="H54" s="30"/>
      <c r="I54" s="31"/>
      <c r="J54" s="32"/>
      <c r="K54" s="33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20"/>
      <c r="BA54" s="23"/>
      <c r="BB54" s="23"/>
      <c r="BC54" s="23"/>
      <c r="BD54" s="23"/>
      <c r="BE54" s="23"/>
      <c r="BF54" s="23"/>
      <c r="BG54" s="26"/>
    </row>
    <row r="55" spans="2:59" ht="7.7" customHeight="1" x14ac:dyDescent="0.15">
      <c r="B55" s="13"/>
      <c r="C55" s="28"/>
      <c r="D55" s="29"/>
      <c r="E55" s="29"/>
      <c r="F55" s="29"/>
      <c r="G55" s="29"/>
      <c r="H55" s="30"/>
      <c r="I55" s="31"/>
      <c r="J55" s="32"/>
      <c r="K55" s="33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20"/>
      <c r="BA55" s="23"/>
      <c r="BB55" s="23"/>
      <c r="BC55" s="23"/>
      <c r="BD55" s="23"/>
      <c r="BE55" s="23"/>
      <c r="BF55" s="23"/>
      <c r="BG55" s="26"/>
    </row>
    <row r="56" spans="2:59" ht="7.7" customHeight="1" x14ac:dyDescent="0.15">
      <c r="B56" s="13"/>
      <c r="C56" s="40" t="s">
        <v>23</v>
      </c>
      <c r="D56" s="41"/>
      <c r="E56" s="41"/>
      <c r="F56" s="41"/>
      <c r="G56" s="41"/>
      <c r="H56" s="42"/>
      <c r="I56" s="31"/>
      <c r="J56" s="32"/>
      <c r="K56" s="33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20"/>
      <c r="BA56" s="23"/>
      <c r="BB56" s="23"/>
      <c r="BC56" s="23"/>
      <c r="BD56" s="23"/>
      <c r="BE56" s="23"/>
      <c r="BF56" s="23"/>
      <c r="BG56" s="26"/>
    </row>
    <row r="57" spans="2:59" ht="7.7" customHeight="1" x14ac:dyDescent="0.15">
      <c r="B57" s="13"/>
      <c r="C57" s="40"/>
      <c r="D57" s="41"/>
      <c r="E57" s="41"/>
      <c r="F57" s="41"/>
      <c r="G57" s="41"/>
      <c r="H57" s="42"/>
      <c r="I57" s="31"/>
      <c r="J57" s="32"/>
      <c r="K57" s="33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20"/>
      <c r="BA57" s="23"/>
      <c r="BB57" s="23"/>
      <c r="BC57" s="23"/>
      <c r="BD57" s="23"/>
      <c r="BE57" s="23"/>
      <c r="BF57" s="23"/>
      <c r="BG57" s="26"/>
    </row>
    <row r="58" spans="2:59" ht="7.7" customHeight="1" x14ac:dyDescent="0.15">
      <c r="B58" s="13"/>
      <c r="C58" s="28">
        <v>45200</v>
      </c>
      <c r="D58" s="29"/>
      <c r="E58" s="29"/>
      <c r="F58" s="29"/>
      <c r="G58" s="29"/>
      <c r="H58" s="30"/>
      <c r="I58" s="46" t="s">
        <v>12</v>
      </c>
      <c r="J58" s="47"/>
      <c r="K58" s="48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21"/>
      <c r="BA58" s="24"/>
      <c r="BB58" s="24"/>
      <c r="BC58" s="24"/>
      <c r="BD58" s="24"/>
      <c r="BE58" s="24"/>
      <c r="BF58" s="24"/>
      <c r="BG58" s="27"/>
    </row>
    <row r="59" spans="2:59" ht="7.7" customHeight="1" x14ac:dyDescent="0.15">
      <c r="B59" s="13"/>
      <c r="C59" s="28"/>
      <c r="D59" s="29"/>
      <c r="E59" s="29"/>
      <c r="F59" s="29"/>
      <c r="G59" s="29"/>
      <c r="H59" s="30"/>
      <c r="I59" s="46"/>
      <c r="J59" s="47"/>
      <c r="K59" s="48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52"/>
      <c r="BA59" s="53"/>
      <c r="BB59" s="53"/>
      <c r="BC59" s="53"/>
      <c r="BD59" s="53"/>
      <c r="BE59" s="53"/>
      <c r="BF59" s="53"/>
      <c r="BG59" s="54"/>
    </row>
    <row r="60" spans="2:59" ht="7.7" customHeight="1" x14ac:dyDescent="0.15">
      <c r="B60" s="13"/>
      <c r="C60" s="28"/>
      <c r="D60" s="29"/>
      <c r="E60" s="29"/>
      <c r="F60" s="29"/>
      <c r="G60" s="29"/>
      <c r="H60" s="30"/>
      <c r="I60" s="46"/>
      <c r="J60" s="47"/>
      <c r="K60" s="48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55"/>
      <c r="BA60" s="56"/>
      <c r="BB60" s="56"/>
      <c r="BC60" s="56"/>
      <c r="BD60" s="56"/>
      <c r="BE60" s="56"/>
      <c r="BF60" s="56"/>
      <c r="BG60" s="57"/>
    </row>
    <row r="61" spans="2:59" ht="7.7" customHeight="1" x14ac:dyDescent="0.15">
      <c r="B61" s="13"/>
      <c r="C61" s="28"/>
      <c r="D61" s="29"/>
      <c r="E61" s="29"/>
      <c r="F61" s="29"/>
      <c r="G61" s="29"/>
      <c r="H61" s="30"/>
      <c r="I61" s="46"/>
      <c r="J61" s="47"/>
      <c r="K61" s="48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55"/>
      <c r="BA61" s="56"/>
      <c r="BB61" s="56"/>
      <c r="BC61" s="56"/>
      <c r="BD61" s="56"/>
      <c r="BE61" s="56"/>
      <c r="BF61" s="56"/>
      <c r="BG61" s="57"/>
    </row>
    <row r="62" spans="2:59" ht="7.7" customHeight="1" x14ac:dyDescent="0.15">
      <c r="B62" s="14"/>
      <c r="C62" s="43"/>
      <c r="D62" s="44"/>
      <c r="E62" s="44"/>
      <c r="F62" s="44"/>
      <c r="G62" s="44"/>
      <c r="H62" s="45"/>
      <c r="I62" s="49"/>
      <c r="J62" s="50"/>
      <c r="K62" s="51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58"/>
      <c r="BA62" s="59"/>
      <c r="BB62" s="59"/>
      <c r="BC62" s="59"/>
      <c r="BD62" s="59"/>
      <c r="BE62" s="59"/>
      <c r="BF62" s="59"/>
      <c r="BG62" s="60"/>
    </row>
    <row r="63" spans="2:59" ht="7.7" customHeight="1" x14ac:dyDescent="0.15">
      <c r="B63" s="12">
        <v>4</v>
      </c>
      <c r="C63" s="28">
        <v>45200</v>
      </c>
      <c r="D63" s="29"/>
      <c r="E63" s="29"/>
      <c r="F63" s="29"/>
      <c r="G63" s="29"/>
      <c r="H63" s="30"/>
      <c r="I63" s="31">
        <f>IF(C70="","",(DATEDIF(C63,C70,"ｍ")+1))</f>
        <v>3</v>
      </c>
      <c r="J63" s="32"/>
      <c r="K63" s="33"/>
      <c r="L63" s="34" t="s">
        <v>79</v>
      </c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5" t="s">
        <v>52</v>
      </c>
      <c r="AG63" s="35"/>
      <c r="AH63" s="35"/>
      <c r="AI63" s="35"/>
      <c r="AJ63" s="35"/>
      <c r="AK63" s="35"/>
      <c r="AL63" s="35"/>
      <c r="AM63" s="35"/>
      <c r="AN63" s="35"/>
      <c r="AO63" s="35"/>
      <c r="AP63" s="37" t="s">
        <v>51</v>
      </c>
      <c r="AQ63" s="37"/>
      <c r="AR63" s="37"/>
      <c r="AS63" s="37"/>
      <c r="AT63" s="37"/>
      <c r="AU63" s="37"/>
      <c r="AV63" s="37"/>
      <c r="AW63" s="37"/>
      <c r="AX63" s="37"/>
      <c r="AY63" s="37"/>
      <c r="AZ63" s="38"/>
      <c r="BA63" s="15"/>
      <c r="BB63" s="15" t="s">
        <v>32</v>
      </c>
      <c r="BC63" s="15" t="s">
        <v>32</v>
      </c>
      <c r="BD63" s="15"/>
      <c r="BE63" s="15"/>
      <c r="BF63" s="15" t="s">
        <v>32</v>
      </c>
      <c r="BG63" s="17"/>
    </row>
    <row r="64" spans="2:59" ht="7.7" customHeight="1" x14ac:dyDescent="0.15">
      <c r="B64" s="13"/>
      <c r="C64" s="28"/>
      <c r="D64" s="29"/>
      <c r="E64" s="29"/>
      <c r="F64" s="29"/>
      <c r="G64" s="29"/>
      <c r="H64" s="30"/>
      <c r="I64" s="31"/>
      <c r="J64" s="32"/>
      <c r="K64" s="33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9"/>
      <c r="BA64" s="16"/>
      <c r="BB64" s="16"/>
      <c r="BC64" s="16"/>
      <c r="BD64" s="16"/>
      <c r="BE64" s="16"/>
      <c r="BF64" s="16"/>
      <c r="BG64" s="18"/>
    </row>
    <row r="65" spans="2:59" ht="10.15" customHeight="1" x14ac:dyDescent="0.15">
      <c r="B65" s="13"/>
      <c r="C65" s="28"/>
      <c r="D65" s="29"/>
      <c r="E65" s="29"/>
      <c r="F65" s="29"/>
      <c r="G65" s="29"/>
      <c r="H65" s="30"/>
      <c r="I65" s="31"/>
      <c r="J65" s="32"/>
      <c r="K65" s="33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19" t="s">
        <v>26</v>
      </c>
      <c r="BA65" s="22" t="s">
        <v>13</v>
      </c>
      <c r="BB65" s="22" t="s">
        <v>20</v>
      </c>
      <c r="BC65" s="22" t="s">
        <v>21</v>
      </c>
      <c r="BD65" s="22" t="s">
        <v>22</v>
      </c>
      <c r="BE65" s="22" t="s">
        <v>14</v>
      </c>
      <c r="BF65" s="22" t="s">
        <v>15</v>
      </c>
      <c r="BG65" s="25" t="s">
        <v>16</v>
      </c>
    </row>
    <row r="66" spans="2:59" ht="10.15" customHeight="1" x14ac:dyDescent="0.15">
      <c r="B66" s="13"/>
      <c r="C66" s="28"/>
      <c r="D66" s="29"/>
      <c r="E66" s="29"/>
      <c r="F66" s="29"/>
      <c r="G66" s="29"/>
      <c r="H66" s="30"/>
      <c r="I66" s="31"/>
      <c r="J66" s="32"/>
      <c r="K66" s="33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20"/>
      <c r="BA66" s="23"/>
      <c r="BB66" s="23"/>
      <c r="BC66" s="23"/>
      <c r="BD66" s="23"/>
      <c r="BE66" s="23"/>
      <c r="BF66" s="23"/>
      <c r="BG66" s="26"/>
    </row>
    <row r="67" spans="2:59" ht="10.15" customHeight="1" x14ac:dyDescent="0.15">
      <c r="B67" s="13"/>
      <c r="C67" s="28"/>
      <c r="D67" s="29"/>
      <c r="E67" s="29"/>
      <c r="F67" s="29"/>
      <c r="G67" s="29"/>
      <c r="H67" s="30"/>
      <c r="I67" s="31"/>
      <c r="J67" s="32"/>
      <c r="K67" s="33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20"/>
      <c r="BA67" s="23"/>
      <c r="BB67" s="23"/>
      <c r="BC67" s="23"/>
      <c r="BD67" s="23"/>
      <c r="BE67" s="23"/>
      <c r="BF67" s="23"/>
      <c r="BG67" s="26"/>
    </row>
    <row r="68" spans="2:59" ht="10.15" customHeight="1" x14ac:dyDescent="0.15">
      <c r="B68" s="13"/>
      <c r="C68" s="40" t="s">
        <v>23</v>
      </c>
      <c r="D68" s="41"/>
      <c r="E68" s="41"/>
      <c r="F68" s="41"/>
      <c r="G68" s="41"/>
      <c r="H68" s="42"/>
      <c r="I68" s="31"/>
      <c r="J68" s="32"/>
      <c r="K68" s="33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20"/>
      <c r="BA68" s="23"/>
      <c r="BB68" s="23"/>
      <c r="BC68" s="23"/>
      <c r="BD68" s="23"/>
      <c r="BE68" s="23"/>
      <c r="BF68" s="23"/>
      <c r="BG68" s="26"/>
    </row>
    <row r="69" spans="2:59" ht="10.15" customHeight="1" x14ac:dyDescent="0.15">
      <c r="B69" s="13"/>
      <c r="C69" s="40"/>
      <c r="D69" s="41"/>
      <c r="E69" s="41"/>
      <c r="F69" s="41"/>
      <c r="G69" s="41"/>
      <c r="H69" s="42"/>
      <c r="I69" s="31"/>
      <c r="J69" s="32"/>
      <c r="K69" s="33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20"/>
      <c r="BA69" s="23"/>
      <c r="BB69" s="23"/>
      <c r="BC69" s="23"/>
      <c r="BD69" s="23"/>
      <c r="BE69" s="23"/>
      <c r="BF69" s="23"/>
      <c r="BG69" s="26"/>
    </row>
    <row r="70" spans="2:59" ht="10.15" customHeight="1" x14ac:dyDescent="0.15">
      <c r="B70" s="13"/>
      <c r="C70" s="28">
        <v>45261</v>
      </c>
      <c r="D70" s="29"/>
      <c r="E70" s="29"/>
      <c r="F70" s="29"/>
      <c r="G70" s="29"/>
      <c r="H70" s="30"/>
      <c r="I70" s="46" t="s">
        <v>12</v>
      </c>
      <c r="J70" s="47"/>
      <c r="K70" s="48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21"/>
      <c r="BA70" s="24"/>
      <c r="BB70" s="24"/>
      <c r="BC70" s="24"/>
      <c r="BD70" s="24"/>
      <c r="BE70" s="24"/>
      <c r="BF70" s="24"/>
      <c r="BG70" s="27"/>
    </row>
    <row r="71" spans="2:59" ht="7.7" customHeight="1" x14ac:dyDescent="0.15">
      <c r="B71" s="13"/>
      <c r="C71" s="28"/>
      <c r="D71" s="29"/>
      <c r="E71" s="29"/>
      <c r="F71" s="29"/>
      <c r="G71" s="29"/>
      <c r="H71" s="30"/>
      <c r="I71" s="46"/>
      <c r="J71" s="47"/>
      <c r="K71" s="48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52" t="s">
        <v>42</v>
      </c>
      <c r="BA71" s="53"/>
      <c r="BB71" s="53"/>
      <c r="BC71" s="53"/>
      <c r="BD71" s="53"/>
      <c r="BE71" s="53"/>
      <c r="BF71" s="53"/>
      <c r="BG71" s="54"/>
    </row>
    <row r="72" spans="2:59" ht="7.7" customHeight="1" x14ac:dyDescent="0.15">
      <c r="B72" s="13"/>
      <c r="C72" s="28"/>
      <c r="D72" s="29"/>
      <c r="E72" s="29"/>
      <c r="F72" s="29"/>
      <c r="G72" s="29"/>
      <c r="H72" s="30"/>
      <c r="I72" s="46"/>
      <c r="J72" s="47"/>
      <c r="K72" s="48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55"/>
      <c r="BA72" s="56"/>
      <c r="BB72" s="56"/>
      <c r="BC72" s="56"/>
      <c r="BD72" s="56"/>
      <c r="BE72" s="56"/>
      <c r="BF72" s="56"/>
      <c r="BG72" s="57"/>
    </row>
    <row r="73" spans="2:59" ht="7.7" customHeight="1" x14ac:dyDescent="0.15">
      <c r="B73" s="13"/>
      <c r="C73" s="28"/>
      <c r="D73" s="29"/>
      <c r="E73" s="29"/>
      <c r="F73" s="29"/>
      <c r="G73" s="29"/>
      <c r="H73" s="30"/>
      <c r="I73" s="46"/>
      <c r="J73" s="47"/>
      <c r="K73" s="48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55" t="s">
        <v>43</v>
      </c>
      <c r="BA73" s="56"/>
      <c r="BB73" s="56"/>
      <c r="BC73" s="56"/>
      <c r="BD73" s="56"/>
      <c r="BE73" s="56"/>
      <c r="BF73" s="56"/>
      <c r="BG73" s="57"/>
    </row>
    <row r="74" spans="2:59" ht="7.7" customHeight="1" x14ac:dyDescent="0.15">
      <c r="B74" s="13"/>
      <c r="C74" s="28"/>
      <c r="D74" s="29"/>
      <c r="E74" s="29"/>
      <c r="F74" s="29"/>
      <c r="G74" s="29"/>
      <c r="H74" s="30"/>
      <c r="I74" s="46"/>
      <c r="J74" s="47"/>
      <c r="K74" s="48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275"/>
      <c r="BA74" s="276"/>
      <c r="BB74" s="276"/>
      <c r="BC74" s="276"/>
      <c r="BD74" s="276"/>
      <c r="BE74" s="276"/>
      <c r="BF74" s="276"/>
      <c r="BG74" s="277"/>
    </row>
    <row r="75" spans="2:59" ht="7.7" customHeight="1" x14ac:dyDescent="0.15">
      <c r="B75" s="279">
        <v>5</v>
      </c>
      <c r="C75" s="255">
        <v>45352</v>
      </c>
      <c r="D75" s="256"/>
      <c r="E75" s="256"/>
      <c r="F75" s="256"/>
      <c r="G75" s="256"/>
      <c r="H75" s="257"/>
      <c r="I75" s="258">
        <f>IF(C82="","",(DATEDIF(C75,C82,"ｍ")+1))</f>
        <v>4</v>
      </c>
      <c r="J75" s="259"/>
      <c r="K75" s="260"/>
      <c r="L75" s="261" t="s">
        <v>80</v>
      </c>
      <c r="M75" s="261"/>
      <c r="N75" s="261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  <c r="AA75" s="261"/>
      <c r="AB75" s="261"/>
      <c r="AC75" s="261"/>
      <c r="AD75" s="261"/>
      <c r="AE75" s="261"/>
      <c r="AF75" s="263" t="s">
        <v>45</v>
      </c>
      <c r="AG75" s="263"/>
      <c r="AH75" s="263"/>
      <c r="AI75" s="263"/>
      <c r="AJ75" s="263"/>
      <c r="AK75" s="263"/>
      <c r="AL75" s="263"/>
      <c r="AM75" s="263"/>
      <c r="AN75" s="263"/>
      <c r="AO75" s="263"/>
      <c r="AP75" s="263" t="s">
        <v>44</v>
      </c>
      <c r="AQ75" s="263"/>
      <c r="AR75" s="263"/>
      <c r="AS75" s="263"/>
      <c r="AT75" s="263"/>
      <c r="AU75" s="263"/>
      <c r="AV75" s="263"/>
      <c r="AW75" s="263"/>
      <c r="AX75" s="263"/>
      <c r="AY75" s="263"/>
      <c r="AZ75" s="265"/>
      <c r="BA75" s="253"/>
      <c r="BB75" s="253" t="s">
        <v>32</v>
      </c>
      <c r="BC75" s="253" t="s">
        <v>32</v>
      </c>
      <c r="BD75" s="253" t="s">
        <v>32</v>
      </c>
      <c r="BE75" s="253"/>
      <c r="BF75" s="253" t="s">
        <v>32</v>
      </c>
      <c r="BG75" s="254"/>
    </row>
    <row r="76" spans="2:59" ht="7.7" customHeight="1" x14ac:dyDescent="0.15">
      <c r="B76" s="13"/>
      <c r="C76" s="28"/>
      <c r="D76" s="29"/>
      <c r="E76" s="29"/>
      <c r="F76" s="29"/>
      <c r="G76" s="29"/>
      <c r="H76" s="30"/>
      <c r="I76" s="31"/>
      <c r="J76" s="32"/>
      <c r="K76" s="33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9"/>
      <c r="BA76" s="16"/>
      <c r="BB76" s="16"/>
      <c r="BC76" s="16"/>
      <c r="BD76" s="16"/>
      <c r="BE76" s="16"/>
      <c r="BF76" s="16"/>
      <c r="BG76" s="18"/>
    </row>
    <row r="77" spans="2:59" ht="10.15" customHeight="1" x14ac:dyDescent="0.15">
      <c r="B77" s="13"/>
      <c r="C77" s="28"/>
      <c r="D77" s="29"/>
      <c r="E77" s="29"/>
      <c r="F77" s="29"/>
      <c r="G77" s="29"/>
      <c r="H77" s="30"/>
      <c r="I77" s="31"/>
      <c r="J77" s="32"/>
      <c r="K77" s="33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19" t="s">
        <v>26</v>
      </c>
      <c r="BA77" s="22" t="s">
        <v>13</v>
      </c>
      <c r="BB77" s="22" t="s">
        <v>20</v>
      </c>
      <c r="BC77" s="22" t="s">
        <v>21</v>
      </c>
      <c r="BD77" s="22" t="s">
        <v>22</v>
      </c>
      <c r="BE77" s="22" t="s">
        <v>14</v>
      </c>
      <c r="BF77" s="22" t="s">
        <v>15</v>
      </c>
      <c r="BG77" s="25" t="s">
        <v>16</v>
      </c>
    </row>
    <row r="78" spans="2:59" ht="10.15" customHeight="1" x14ac:dyDescent="0.15">
      <c r="B78" s="13"/>
      <c r="C78" s="28"/>
      <c r="D78" s="29"/>
      <c r="E78" s="29"/>
      <c r="F78" s="29"/>
      <c r="G78" s="29"/>
      <c r="H78" s="30"/>
      <c r="I78" s="31"/>
      <c r="J78" s="32"/>
      <c r="K78" s="33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20"/>
      <c r="BA78" s="23"/>
      <c r="BB78" s="23"/>
      <c r="BC78" s="23"/>
      <c r="BD78" s="23"/>
      <c r="BE78" s="23"/>
      <c r="BF78" s="23"/>
      <c r="BG78" s="26"/>
    </row>
    <row r="79" spans="2:59" ht="10.15" customHeight="1" x14ac:dyDescent="0.15">
      <c r="B79" s="13"/>
      <c r="C79" s="28"/>
      <c r="D79" s="29"/>
      <c r="E79" s="29"/>
      <c r="F79" s="29"/>
      <c r="G79" s="29"/>
      <c r="H79" s="30"/>
      <c r="I79" s="31"/>
      <c r="J79" s="32"/>
      <c r="K79" s="33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20"/>
      <c r="BA79" s="23"/>
      <c r="BB79" s="23"/>
      <c r="BC79" s="23"/>
      <c r="BD79" s="23"/>
      <c r="BE79" s="23"/>
      <c r="BF79" s="23"/>
      <c r="BG79" s="26"/>
    </row>
    <row r="80" spans="2:59" ht="10.15" customHeight="1" x14ac:dyDescent="0.15">
      <c r="B80" s="13"/>
      <c r="C80" s="40" t="s">
        <v>23</v>
      </c>
      <c r="D80" s="41"/>
      <c r="E80" s="41"/>
      <c r="F80" s="41"/>
      <c r="G80" s="41"/>
      <c r="H80" s="42"/>
      <c r="I80" s="31"/>
      <c r="J80" s="32"/>
      <c r="K80" s="33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20"/>
      <c r="BA80" s="23"/>
      <c r="BB80" s="23"/>
      <c r="BC80" s="23"/>
      <c r="BD80" s="23"/>
      <c r="BE80" s="23"/>
      <c r="BF80" s="23"/>
      <c r="BG80" s="26"/>
    </row>
    <row r="81" spans="2:59" ht="10.15" customHeight="1" x14ac:dyDescent="0.15">
      <c r="B81" s="13"/>
      <c r="C81" s="40"/>
      <c r="D81" s="41"/>
      <c r="E81" s="41"/>
      <c r="F81" s="41"/>
      <c r="G81" s="41"/>
      <c r="H81" s="42"/>
      <c r="I81" s="31"/>
      <c r="J81" s="32"/>
      <c r="K81" s="33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20"/>
      <c r="BA81" s="23"/>
      <c r="BB81" s="23"/>
      <c r="BC81" s="23"/>
      <c r="BD81" s="23"/>
      <c r="BE81" s="23"/>
      <c r="BF81" s="23"/>
      <c r="BG81" s="26"/>
    </row>
    <row r="82" spans="2:59" ht="10.15" customHeight="1" x14ac:dyDescent="0.15">
      <c r="B82" s="13"/>
      <c r="C82" s="28">
        <v>45444</v>
      </c>
      <c r="D82" s="29"/>
      <c r="E82" s="29"/>
      <c r="F82" s="29"/>
      <c r="G82" s="29"/>
      <c r="H82" s="30"/>
      <c r="I82" s="46" t="s">
        <v>12</v>
      </c>
      <c r="J82" s="47"/>
      <c r="K82" s="48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21"/>
      <c r="BA82" s="24"/>
      <c r="BB82" s="24"/>
      <c r="BC82" s="24"/>
      <c r="BD82" s="24"/>
      <c r="BE82" s="24"/>
      <c r="BF82" s="24"/>
      <c r="BG82" s="27"/>
    </row>
    <row r="83" spans="2:59" ht="7.7" customHeight="1" x14ac:dyDescent="0.15">
      <c r="B83" s="13"/>
      <c r="C83" s="28"/>
      <c r="D83" s="29"/>
      <c r="E83" s="29"/>
      <c r="F83" s="29"/>
      <c r="G83" s="29"/>
      <c r="H83" s="30"/>
      <c r="I83" s="46"/>
      <c r="J83" s="47"/>
      <c r="K83" s="48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52" t="s">
        <v>42</v>
      </c>
      <c r="BA83" s="53"/>
      <c r="BB83" s="53"/>
      <c r="BC83" s="53"/>
      <c r="BD83" s="53"/>
      <c r="BE83" s="53"/>
      <c r="BF83" s="53"/>
      <c r="BG83" s="54"/>
    </row>
    <row r="84" spans="2:59" ht="7.7" customHeight="1" x14ac:dyDescent="0.15">
      <c r="B84" s="13"/>
      <c r="C84" s="28"/>
      <c r="D84" s="29"/>
      <c r="E84" s="29"/>
      <c r="F84" s="29"/>
      <c r="G84" s="29"/>
      <c r="H84" s="30"/>
      <c r="I84" s="46"/>
      <c r="J84" s="47"/>
      <c r="K84" s="48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55"/>
      <c r="BA84" s="56"/>
      <c r="BB84" s="56"/>
      <c r="BC84" s="56"/>
      <c r="BD84" s="56"/>
      <c r="BE84" s="56"/>
      <c r="BF84" s="56"/>
      <c r="BG84" s="57"/>
    </row>
    <row r="85" spans="2:59" ht="7.7" customHeight="1" x14ac:dyDescent="0.15">
      <c r="B85" s="13"/>
      <c r="C85" s="28"/>
      <c r="D85" s="29"/>
      <c r="E85" s="29"/>
      <c r="F85" s="29"/>
      <c r="G85" s="29"/>
      <c r="H85" s="30"/>
      <c r="I85" s="46"/>
      <c r="J85" s="47"/>
      <c r="K85" s="48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55" t="s">
        <v>43</v>
      </c>
      <c r="BA85" s="56"/>
      <c r="BB85" s="56"/>
      <c r="BC85" s="56"/>
      <c r="BD85" s="56"/>
      <c r="BE85" s="56"/>
      <c r="BF85" s="56"/>
      <c r="BG85" s="57"/>
    </row>
    <row r="86" spans="2:59" ht="7.7" customHeight="1" x14ac:dyDescent="0.15">
      <c r="B86" s="280"/>
      <c r="C86" s="266"/>
      <c r="D86" s="267"/>
      <c r="E86" s="267"/>
      <c r="F86" s="267"/>
      <c r="G86" s="267"/>
      <c r="H86" s="268"/>
      <c r="I86" s="269"/>
      <c r="J86" s="270"/>
      <c r="K86" s="271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2"/>
      <c r="X86" s="262"/>
      <c r="Y86" s="262"/>
      <c r="Z86" s="262"/>
      <c r="AA86" s="262"/>
      <c r="AB86" s="262"/>
      <c r="AC86" s="262"/>
      <c r="AD86" s="262"/>
      <c r="AE86" s="262"/>
      <c r="AF86" s="264"/>
      <c r="AG86" s="264"/>
      <c r="AH86" s="264"/>
      <c r="AI86" s="264"/>
      <c r="AJ86" s="264"/>
      <c r="AK86" s="264"/>
      <c r="AL86" s="264"/>
      <c r="AM86" s="264"/>
      <c r="AN86" s="264"/>
      <c r="AO86" s="264"/>
      <c r="AP86" s="264"/>
      <c r="AQ86" s="264"/>
      <c r="AR86" s="264"/>
      <c r="AS86" s="264"/>
      <c r="AT86" s="264"/>
      <c r="AU86" s="264"/>
      <c r="AV86" s="264"/>
      <c r="AW86" s="264"/>
      <c r="AX86" s="264"/>
      <c r="AY86" s="264"/>
      <c r="AZ86" s="272"/>
      <c r="BA86" s="273"/>
      <c r="BB86" s="273"/>
      <c r="BC86" s="273"/>
      <c r="BD86" s="273"/>
      <c r="BE86" s="273"/>
      <c r="BF86" s="273"/>
      <c r="BG86" s="274"/>
    </row>
    <row r="87" spans="2:59" ht="7.7" customHeight="1" x14ac:dyDescent="0.15">
      <c r="B87" s="13">
        <v>6</v>
      </c>
      <c r="C87" s="28">
        <v>45444</v>
      </c>
      <c r="D87" s="29"/>
      <c r="E87" s="29"/>
      <c r="F87" s="29"/>
      <c r="G87" s="29"/>
      <c r="H87" s="30"/>
      <c r="I87" s="31">
        <f>IF(C94="","",(DATEDIF(C87,C94,"ｍ")+1))</f>
        <v>3</v>
      </c>
      <c r="J87" s="32"/>
      <c r="K87" s="33"/>
      <c r="L87" s="34" t="s">
        <v>81</v>
      </c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5" t="s">
        <v>53</v>
      </c>
      <c r="AG87" s="35"/>
      <c r="AH87" s="35"/>
      <c r="AI87" s="35"/>
      <c r="AJ87" s="35"/>
      <c r="AK87" s="35"/>
      <c r="AL87" s="35"/>
      <c r="AM87" s="35"/>
      <c r="AN87" s="35"/>
      <c r="AO87" s="35"/>
      <c r="AP87" s="35" t="s">
        <v>51</v>
      </c>
      <c r="AQ87" s="35"/>
      <c r="AR87" s="35"/>
      <c r="AS87" s="35"/>
      <c r="AT87" s="35"/>
      <c r="AU87" s="35"/>
      <c r="AV87" s="35"/>
      <c r="AW87" s="35"/>
      <c r="AX87" s="35"/>
      <c r="AY87" s="35"/>
      <c r="AZ87" s="38"/>
      <c r="BA87" s="15" t="s">
        <v>32</v>
      </c>
      <c r="BB87" s="15"/>
      <c r="BC87" s="15" t="s">
        <v>32</v>
      </c>
      <c r="BD87" s="15" t="s">
        <v>32</v>
      </c>
      <c r="BE87" s="15"/>
      <c r="BF87" s="15" t="s">
        <v>32</v>
      </c>
      <c r="BG87" s="17"/>
    </row>
    <row r="88" spans="2:59" ht="7.7" customHeight="1" x14ac:dyDescent="0.15">
      <c r="B88" s="13"/>
      <c r="C88" s="28"/>
      <c r="D88" s="29"/>
      <c r="E88" s="29"/>
      <c r="F88" s="29"/>
      <c r="G88" s="29"/>
      <c r="H88" s="30"/>
      <c r="I88" s="31"/>
      <c r="J88" s="32"/>
      <c r="K88" s="33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9"/>
      <c r="BA88" s="16"/>
      <c r="BB88" s="16"/>
      <c r="BC88" s="16"/>
      <c r="BD88" s="16"/>
      <c r="BE88" s="16"/>
      <c r="BF88" s="16"/>
      <c r="BG88" s="18"/>
    </row>
    <row r="89" spans="2:59" ht="7.7" customHeight="1" x14ac:dyDescent="0.15">
      <c r="B89" s="13"/>
      <c r="C89" s="28"/>
      <c r="D89" s="29"/>
      <c r="E89" s="29"/>
      <c r="F89" s="29"/>
      <c r="G89" s="29"/>
      <c r="H89" s="30"/>
      <c r="I89" s="31"/>
      <c r="J89" s="32"/>
      <c r="K89" s="33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19" t="s">
        <v>26</v>
      </c>
      <c r="BA89" s="22" t="s">
        <v>13</v>
      </c>
      <c r="BB89" s="22" t="s">
        <v>20</v>
      </c>
      <c r="BC89" s="22" t="s">
        <v>21</v>
      </c>
      <c r="BD89" s="22" t="s">
        <v>22</v>
      </c>
      <c r="BE89" s="22" t="s">
        <v>14</v>
      </c>
      <c r="BF89" s="22" t="s">
        <v>15</v>
      </c>
      <c r="BG89" s="25" t="s">
        <v>16</v>
      </c>
    </row>
    <row r="90" spans="2:59" ht="7.7" customHeight="1" x14ac:dyDescent="0.15">
      <c r="B90" s="13"/>
      <c r="C90" s="28"/>
      <c r="D90" s="29"/>
      <c r="E90" s="29"/>
      <c r="F90" s="29"/>
      <c r="G90" s="29"/>
      <c r="H90" s="30"/>
      <c r="I90" s="31"/>
      <c r="J90" s="32"/>
      <c r="K90" s="33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20"/>
      <c r="BA90" s="23"/>
      <c r="BB90" s="23"/>
      <c r="BC90" s="23"/>
      <c r="BD90" s="23"/>
      <c r="BE90" s="23"/>
      <c r="BF90" s="23"/>
      <c r="BG90" s="26"/>
    </row>
    <row r="91" spans="2:59" ht="7.7" customHeight="1" x14ac:dyDescent="0.15">
      <c r="B91" s="13"/>
      <c r="C91" s="28"/>
      <c r="D91" s="29"/>
      <c r="E91" s="29"/>
      <c r="F91" s="29"/>
      <c r="G91" s="29"/>
      <c r="H91" s="30"/>
      <c r="I91" s="31"/>
      <c r="J91" s="32"/>
      <c r="K91" s="33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20"/>
      <c r="BA91" s="23"/>
      <c r="BB91" s="23"/>
      <c r="BC91" s="23"/>
      <c r="BD91" s="23"/>
      <c r="BE91" s="23"/>
      <c r="BF91" s="23"/>
      <c r="BG91" s="26"/>
    </row>
    <row r="92" spans="2:59" ht="7.7" customHeight="1" x14ac:dyDescent="0.15">
      <c r="B92" s="13"/>
      <c r="C92" s="40" t="s">
        <v>23</v>
      </c>
      <c r="D92" s="41"/>
      <c r="E92" s="41"/>
      <c r="F92" s="41"/>
      <c r="G92" s="41"/>
      <c r="H92" s="42"/>
      <c r="I92" s="31"/>
      <c r="J92" s="32"/>
      <c r="K92" s="33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20"/>
      <c r="BA92" s="23"/>
      <c r="BB92" s="23"/>
      <c r="BC92" s="23"/>
      <c r="BD92" s="23"/>
      <c r="BE92" s="23"/>
      <c r="BF92" s="23"/>
      <c r="BG92" s="26"/>
    </row>
    <row r="93" spans="2:59" ht="7.7" customHeight="1" x14ac:dyDescent="0.15">
      <c r="B93" s="13"/>
      <c r="C93" s="40"/>
      <c r="D93" s="41"/>
      <c r="E93" s="41"/>
      <c r="F93" s="41"/>
      <c r="G93" s="41"/>
      <c r="H93" s="42"/>
      <c r="I93" s="31"/>
      <c r="J93" s="32"/>
      <c r="K93" s="33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20"/>
      <c r="BA93" s="23"/>
      <c r="BB93" s="23"/>
      <c r="BC93" s="23"/>
      <c r="BD93" s="23"/>
      <c r="BE93" s="23"/>
      <c r="BF93" s="23"/>
      <c r="BG93" s="26"/>
    </row>
    <row r="94" spans="2:59" ht="7.7" customHeight="1" x14ac:dyDescent="0.15">
      <c r="B94" s="13"/>
      <c r="C94" s="28">
        <v>45505</v>
      </c>
      <c r="D94" s="29"/>
      <c r="E94" s="29"/>
      <c r="F94" s="29"/>
      <c r="G94" s="29"/>
      <c r="H94" s="30"/>
      <c r="I94" s="46" t="s">
        <v>12</v>
      </c>
      <c r="J94" s="47"/>
      <c r="K94" s="48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21"/>
      <c r="BA94" s="24"/>
      <c r="BB94" s="24"/>
      <c r="BC94" s="24"/>
      <c r="BD94" s="24"/>
      <c r="BE94" s="24"/>
      <c r="BF94" s="24"/>
      <c r="BG94" s="27"/>
    </row>
    <row r="95" spans="2:59" ht="7.7" customHeight="1" x14ac:dyDescent="0.15">
      <c r="B95" s="13"/>
      <c r="C95" s="28"/>
      <c r="D95" s="29"/>
      <c r="E95" s="29"/>
      <c r="F95" s="29"/>
      <c r="G95" s="29"/>
      <c r="H95" s="30"/>
      <c r="I95" s="46"/>
      <c r="J95" s="47"/>
      <c r="K95" s="48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52" t="s">
        <v>42</v>
      </c>
      <c r="BA95" s="53"/>
      <c r="BB95" s="53"/>
      <c r="BC95" s="53"/>
      <c r="BD95" s="53"/>
      <c r="BE95" s="53"/>
      <c r="BF95" s="53"/>
      <c r="BG95" s="54"/>
    </row>
    <row r="96" spans="2:59" ht="7.7" customHeight="1" x14ac:dyDescent="0.15">
      <c r="B96" s="13"/>
      <c r="C96" s="28"/>
      <c r="D96" s="29"/>
      <c r="E96" s="29"/>
      <c r="F96" s="29"/>
      <c r="G96" s="29"/>
      <c r="H96" s="30"/>
      <c r="I96" s="46"/>
      <c r="J96" s="47"/>
      <c r="K96" s="48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55"/>
      <c r="BA96" s="56"/>
      <c r="BB96" s="56"/>
      <c r="BC96" s="56"/>
      <c r="BD96" s="56"/>
      <c r="BE96" s="56"/>
      <c r="BF96" s="56"/>
      <c r="BG96" s="57"/>
    </row>
    <row r="97" spans="2:59" ht="7.7" customHeight="1" x14ac:dyDescent="0.15">
      <c r="B97" s="13"/>
      <c r="C97" s="28"/>
      <c r="D97" s="29"/>
      <c r="E97" s="29"/>
      <c r="F97" s="29"/>
      <c r="G97" s="29"/>
      <c r="H97" s="30"/>
      <c r="I97" s="46"/>
      <c r="J97" s="47"/>
      <c r="K97" s="48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55" t="s">
        <v>43</v>
      </c>
      <c r="BA97" s="56"/>
      <c r="BB97" s="56"/>
      <c r="BC97" s="56"/>
      <c r="BD97" s="56"/>
      <c r="BE97" s="56"/>
      <c r="BF97" s="56"/>
      <c r="BG97" s="57"/>
    </row>
    <row r="98" spans="2:59" ht="7.7" customHeight="1" x14ac:dyDescent="0.15">
      <c r="B98" s="13"/>
      <c r="C98" s="28"/>
      <c r="D98" s="29"/>
      <c r="E98" s="29"/>
      <c r="F98" s="29"/>
      <c r="G98" s="29"/>
      <c r="H98" s="30"/>
      <c r="I98" s="46"/>
      <c r="J98" s="47"/>
      <c r="K98" s="48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275"/>
      <c r="BA98" s="276"/>
      <c r="BB98" s="276"/>
      <c r="BC98" s="276"/>
      <c r="BD98" s="276"/>
      <c r="BE98" s="276"/>
      <c r="BF98" s="276"/>
      <c r="BG98" s="277"/>
    </row>
    <row r="99" spans="2:59" ht="7.7" customHeight="1" x14ac:dyDescent="0.15">
      <c r="B99" s="279">
        <v>7</v>
      </c>
      <c r="C99" s="255">
        <v>45474</v>
      </c>
      <c r="D99" s="256"/>
      <c r="E99" s="256"/>
      <c r="F99" s="256"/>
      <c r="G99" s="256"/>
      <c r="H99" s="257"/>
      <c r="I99" s="258">
        <f>IF(C106="","",(DATEDIF(C99,C106,"ｍ")+1))</f>
        <v>4</v>
      </c>
      <c r="J99" s="259"/>
      <c r="K99" s="260"/>
      <c r="L99" s="261" t="s">
        <v>82</v>
      </c>
      <c r="M99" s="261"/>
      <c r="N99" s="261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  <c r="AA99" s="261"/>
      <c r="AB99" s="261"/>
      <c r="AC99" s="261"/>
      <c r="AD99" s="261"/>
      <c r="AE99" s="261"/>
      <c r="AF99" s="263" t="s">
        <v>55</v>
      </c>
      <c r="AG99" s="263"/>
      <c r="AH99" s="263"/>
      <c r="AI99" s="263"/>
      <c r="AJ99" s="263"/>
      <c r="AK99" s="263"/>
      <c r="AL99" s="263"/>
      <c r="AM99" s="263"/>
      <c r="AN99" s="263"/>
      <c r="AO99" s="263"/>
      <c r="AP99" s="263" t="s">
        <v>54</v>
      </c>
      <c r="AQ99" s="263"/>
      <c r="AR99" s="263"/>
      <c r="AS99" s="263"/>
      <c r="AT99" s="263"/>
      <c r="AU99" s="263"/>
      <c r="AV99" s="263"/>
      <c r="AW99" s="263"/>
      <c r="AX99" s="263"/>
      <c r="AY99" s="263"/>
      <c r="AZ99" s="265"/>
      <c r="BA99" s="253"/>
      <c r="BB99" s="253" t="s">
        <v>32</v>
      </c>
      <c r="BC99" s="253" t="s">
        <v>32</v>
      </c>
      <c r="BD99" s="253" t="s">
        <v>32</v>
      </c>
      <c r="BE99" s="253"/>
      <c r="BF99" s="253" t="s">
        <v>32</v>
      </c>
      <c r="BG99" s="254"/>
    </row>
    <row r="100" spans="2:59" ht="7.7" customHeight="1" x14ac:dyDescent="0.15">
      <c r="B100" s="13"/>
      <c r="C100" s="28"/>
      <c r="D100" s="29"/>
      <c r="E100" s="29"/>
      <c r="F100" s="29"/>
      <c r="G100" s="29"/>
      <c r="H100" s="30"/>
      <c r="I100" s="31"/>
      <c r="J100" s="32"/>
      <c r="K100" s="33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9"/>
      <c r="BA100" s="16"/>
      <c r="BB100" s="16"/>
      <c r="BC100" s="16"/>
      <c r="BD100" s="16"/>
      <c r="BE100" s="16"/>
      <c r="BF100" s="16"/>
      <c r="BG100" s="18"/>
    </row>
    <row r="101" spans="2:59" ht="7.7" customHeight="1" x14ac:dyDescent="0.15">
      <c r="B101" s="13"/>
      <c r="C101" s="28"/>
      <c r="D101" s="29"/>
      <c r="E101" s="29"/>
      <c r="F101" s="29"/>
      <c r="G101" s="29"/>
      <c r="H101" s="30"/>
      <c r="I101" s="31"/>
      <c r="J101" s="32"/>
      <c r="K101" s="33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19" t="s">
        <v>26</v>
      </c>
      <c r="BA101" s="22" t="s">
        <v>13</v>
      </c>
      <c r="BB101" s="22" t="s">
        <v>20</v>
      </c>
      <c r="BC101" s="22" t="s">
        <v>21</v>
      </c>
      <c r="BD101" s="22" t="s">
        <v>22</v>
      </c>
      <c r="BE101" s="22" t="s">
        <v>14</v>
      </c>
      <c r="BF101" s="22" t="s">
        <v>15</v>
      </c>
      <c r="BG101" s="25" t="s">
        <v>16</v>
      </c>
    </row>
    <row r="102" spans="2:59" ht="7.7" customHeight="1" x14ac:dyDescent="0.15">
      <c r="B102" s="13"/>
      <c r="C102" s="28"/>
      <c r="D102" s="29"/>
      <c r="E102" s="29"/>
      <c r="F102" s="29"/>
      <c r="G102" s="29"/>
      <c r="H102" s="30"/>
      <c r="I102" s="31"/>
      <c r="J102" s="32"/>
      <c r="K102" s="33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20"/>
      <c r="BA102" s="23"/>
      <c r="BB102" s="23"/>
      <c r="BC102" s="23"/>
      <c r="BD102" s="23"/>
      <c r="BE102" s="23"/>
      <c r="BF102" s="23"/>
      <c r="BG102" s="26"/>
    </row>
    <row r="103" spans="2:59" ht="7.7" customHeight="1" x14ac:dyDescent="0.15">
      <c r="B103" s="13"/>
      <c r="C103" s="28"/>
      <c r="D103" s="29"/>
      <c r="E103" s="29"/>
      <c r="F103" s="29"/>
      <c r="G103" s="29"/>
      <c r="H103" s="30"/>
      <c r="I103" s="31"/>
      <c r="J103" s="32"/>
      <c r="K103" s="33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20"/>
      <c r="BA103" s="23"/>
      <c r="BB103" s="23"/>
      <c r="BC103" s="23"/>
      <c r="BD103" s="23"/>
      <c r="BE103" s="23"/>
      <c r="BF103" s="23"/>
      <c r="BG103" s="26"/>
    </row>
    <row r="104" spans="2:59" ht="7.7" customHeight="1" x14ac:dyDescent="0.15">
      <c r="B104" s="13"/>
      <c r="C104" s="40" t="s">
        <v>23</v>
      </c>
      <c r="D104" s="41"/>
      <c r="E104" s="41"/>
      <c r="F104" s="41"/>
      <c r="G104" s="41"/>
      <c r="H104" s="42"/>
      <c r="I104" s="31"/>
      <c r="J104" s="32"/>
      <c r="K104" s="33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20"/>
      <c r="BA104" s="23"/>
      <c r="BB104" s="23"/>
      <c r="BC104" s="23"/>
      <c r="BD104" s="23"/>
      <c r="BE104" s="23"/>
      <c r="BF104" s="23"/>
      <c r="BG104" s="26"/>
    </row>
    <row r="105" spans="2:59" ht="7.7" customHeight="1" x14ac:dyDescent="0.15">
      <c r="B105" s="13"/>
      <c r="C105" s="40"/>
      <c r="D105" s="41"/>
      <c r="E105" s="41"/>
      <c r="F105" s="41"/>
      <c r="G105" s="41"/>
      <c r="H105" s="42"/>
      <c r="I105" s="31"/>
      <c r="J105" s="32"/>
      <c r="K105" s="33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20"/>
      <c r="BA105" s="23"/>
      <c r="BB105" s="23"/>
      <c r="BC105" s="23"/>
      <c r="BD105" s="23"/>
      <c r="BE105" s="23"/>
      <c r="BF105" s="23"/>
      <c r="BG105" s="26"/>
    </row>
    <row r="106" spans="2:59" ht="7.7" customHeight="1" x14ac:dyDescent="0.15">
      <c r="B106" s="13"/>
      <c r="C106" s="28">
        <v>45566</v>
      </c>
      <c r="D106" s="29"/>
      <c r="E106" s="29"/>
      <c r="F106" s="29"/>
      <c r="G106" s="29"/>
      <c r="H106" s="30"/>
      <c r="I106" s="46" t="s">
        <v>12</v>
      </c>
      <c r="J106" s="47"/>
      <c r="K106" s="48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21"/>
      <c r="BA106" s="24"/>
      <c r="BB106" s="24"/>
      <c r="BC106" s="24"/>
      <c r="BD106" s="24"/>
      <c r="BE106" s="24"/>
      <c r="BF106" s="24"/>
      <c r="BG106" s="27"/>
    </row>
    <row r="107" spans="2:59" ht="7.7" customHeight="1" x14ac:dyDescent="0.15">
      <c r="B107" s="13"/>
      <c r="C107" s="28"/>
      <c r="D107" s="29"/>
      <c r="E107" s="29"/>
      <c r="F107" s="29"/>
      <c r="G107" s="29"/>
      <c r="H107" s="30"/>
      <c r="I107" s="46"/>
      <c r="J107" s="47"/>
      <c r="K107" s="48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52" t="s">
        <v>42</v>
      </c>
      <c r="BA107" s="53"/>
      <c r="BB107" s="53"/>
      <c r="BC107" s="53"/>
      <c r="BD107" s="53"/>
      <c r="BE107" s="53"/>
      <c r="BF107" s="53"/>
      <c r="BG107" s="54"/>
    </row>
    <row r="108" spans="2:59" ht="7.7" customHeight="1" x14ac:dyDescent="0.15">
      <c r="B108" s="13"/>
      <c r="C108" s="28"/>
      <c r="D108" s="29"/>
      <c r="E108" s="29"/>
      <c r="F108" s="29"/>
      <c r="G108" s="29"/>
      <c r="H108" s="30"/>
      <c r="I108" s="46"/>
      <c r="J108" s="47"/>
      <c r="K108" s="48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55"/>
      <c r="BA108" s="56"/>
      <c r="BB108" s="56"/>
      <c r="BC108" s="56"/>
      <c r="BD108" s="56"/>
      <c r="BE108" s="56"/>
      <c r="BF108" s="56"/>
      <c r="BG108" s="57"/>
    </row>
    <row r="109" spans="2:59" ht="7.7" customHeight="1" x14ac:dyDescent="0.15">
      <c r="B109" s="13"/>
      <c r="C109" s="28"/>
      <c r="D109" s="29"/>
      <c r="E109" s="29"/>
      <c r="F109" s="29"/>
      <c r="G109" s="29"/>
      <c r="H109" s="30"/>
      <c r="I109" s="46"/>
      <c r="J109" s="47"/>
      <c r="K109" s="48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55" t="s">
        <v>46</v>
      </c>
      <c r="BA109" s="56"/>
      <c r="BB109" s="56"/>
      <c r="BC109" s="56"/>
      <c r="BD109" s="56"/>
      <c r="BE109" s="56"/>
      <c r="BF109" s="56"/>
      <c r="BG109" s="57"/>
    </row>
    <row r="110" spans="2:59" ht="7.7" customHeight="1" x14ac:dyDescent="0.15">
      <c r="B110" s="14"/>
      <c r="C110" s="43"/>
      <c r="D110" s="44"/>
      <c r="E110" s="44"/>
      <c r="F110" s="44"/>
      <c r="G110" s="44"/>
      <c r="H110" s="45"/>
      <c r="I110" s="49"/>
      <c r="J110" s="50"/>
      <c r="K110" s="51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58"/>
      <c r="BA110" s="59"/>
      <c r="BB110" s="59"/>
      <c r="BC110" s="59"/>
      <c r="BD110" s="59"/>
      <c r="BE110" s="59"/>
      <c r="BF110" s="59"/>
      <c r="BG110" s="60"/>
    </row>
    <row r="111" spans="2:59" ht="7.7" customHeight="1" x14ac:dyDescent="0.15">
      <c r="B111" s="12">
        <v>8</v>
      </c>
      <c r="C111" s="84">
        <v>45597</v>
      </c>
      <c r="D111" s="85"/>
      <c r="E111" s="85"/>
      <c r="F111" s="85"/>
      <c r="G111" s="85"/>
      <c r="H111" s="86"/>
      <c r="I111" s="87">
        <f>IF(C118="","",(DATEDIF(C111,C118,"ｍ")+1))</f>
        <v>3</v>
      </c>
      <c r="J111" s="88"/>
      <c r="K111" s="89"/>
      <c r="L111" s="281" t="s">
        <v>83</v>
      </c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1"/>
      <c r="AC111" s="281"/>
      <c r="AD111" s="281"/>
      <c r="AE111" s="281"/>
      <c r="AF111" s="37" t="s">
        <v>69</v>
      </c>
      <c r="AG111" s="37"/>
      <c r="AH111" s="37"/>
      <c r="AI111" s="37"/>
      <c r="AJ111" s="37"/>
      <c r="AK111" s="37"/>
      <c r="AL111" s="37"/>
      <c r="AM111" s="37"/>
      <c r="AN111" s="37"/>
      <c r="AO111" s="37"/>
      <c r="AP111" s="37" t="s">
        <v>68</v>
      </c>
      <c r="AQ111" s="37"/>
      <c r="AR111" s="37"/>
      <c r="AS111" s="37"/>
      <c r="AT111" s="37"/>
      <c r="AU111" s="37"/>
      <c r="AV111" s="37"/>
      <c r="AW111" s="37"/>
      <c r="AX111" s="37"/>
      <c r="AY111" s="37"/>
      <c r="AZ111" s="282"/>
      <c r="BA111" s="278"/>
      <c r="BB111" s="278"/>
      <c r="BC111" s="278"/>
      <c r="BD111" s="278"/>
      <c r="BE111" s="278"/>
      <c r="BF111" s="278"/>
      <c r="BG111" s="61" t="s">
        <v>32</v>
      </c>
    </row>
    <row r="112" spans="2:59" ht="7.7" customHeight="1" x14ac:dyDescent="0.15">
      <c r="B112" s="13"/>
      <c r="C112" s="28"/>
      <c r="D112" s="29"/>
      <c r="E112" s="29"/>
      <c r="F112" s="29"/>
      <c r="G112" s="29"/>
      <c r="H112" s="30"/>
      <c r="I112" s="31"/>
      <c r="J112" s="32"/>
      <c r="K112" s="33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9"/>
      <c r="BA112" s="16"/>
      <c r="BB112" s="16"/>
      <c r="BC112" s="16"/>
      <c r="BD112" s="16"/>
      <c r="BE112" s="16"/>
      <c r="BF112" s="16"/>
      <c r="BG112" s="18"/>
    </row>
    <row r="113" spans="2:59" ht="7.7" customHeight="1" x14ac:dyDescent="0.15">
      <c r="B113" s="13"/>
      <c r="C113" s="28"/>
      <c r="D113" s="29"/>
      <c r="E113" s="29"/>
      <c r="F113" s="29"/>
      <c r="G113" s="29"/>
      <c r="H113" s="30"/>
      <c r="I113" s="31"/>
      <c r="J113" s="32"/>
      <c r="K113" s="33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19" t="s">
        <v>26</v>
      </c>
      <c r="BA113" s="22" t="s">
        <v>13</v>
      </c>
      <c r="BB113" s="22" t="s">
        <v>20</v>
      </c>
      <c r="BC113" s="22" t="s">
        <v>21</v>
      </c>
      <c r="BD113" s="22" t="s">
        <v>22</v>
      </c>
      <c r="BE113" s="22" t="s">
        <v>14</v>
      </c>
      <c r="BF113" s="22" t="s">
        <v>15</v>
      </c>
      <c r="BG113" s="25" t="s">
        <v>16</v>
      </c>
    </row>
    <row r="114" spans="2:59" ht="7.7" customHeight="1" x14ac:dyDescent="0.15">
      <c r="B114" s="13"/>
      <c r="C114" s="28"/>
      <c r="D114" s="29"/>
      <c r="E114" s="29"/>
      <c r="F114" s="29"/>
      <c r="G114" s="29"/>
      <c r="H114" s="30"/>
      <c r="I114" s="31"/>
      <c r="J114" s="32"/>
      <c r="K114" s="33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20"/>
      <c r="BA114" s="23"/>
      <c r="BB114" s="23"/>
      <c r="BC114" s="23"/>
      <c r="BD114" s="23"/>
      <c r="BE114" s="23"/>
      <c r="BF114" s="23"/>
      <c r="BG114" s="26"/>
    </row>
    <row r="115" spans="2:59" ht="7.7" customHeight="1" x14ac:dyDescent="0.15">
      <c r="B115" s="13"/>
      <c r="C115" s="28"/>
      <c r="D115" s="29"/>
      <c r="E115" s="29"/>
      <c r="F115" s="29"/>
      <c r="G115" s="29"/>
      <c r="H115" s="30"/>
      <c r="I115" s="31"/>
      <c r="J115" s="32"/>
      <c r="K115" s="33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20"/>
      <c r="BA115" s="23"/>
      <c r="BB115" s="23"/>
      <c r="BC115" s="23"/>
      <c r="BD115" s="23"/>
      <c r="BE115" s="23"/>
      <c r="BF115" s="23"/>
      <c r="BG115" s="26"/>
    </row>
    <row r="116" spans="2:59" ht="7.7" customHeight="1" x14ac:dyDescent="0.15">
      <c r="B116" s="13"/>
      <c r="C116" s="40" t="s">
        <v>23</v>
      </c>
      <c r="D116" s="41"/>
      <c r="E116" s="41"/>
      <c r="F116" s="41"/>
      <c r="G116" s="41"/>
      <c r="H116" s="42"/>
      <c r="I116" s="31"/>
      <c r="J116" s="32"/>
      <c r="K116" s="33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20"/>
      <c r="BA116" s="23"/>
      <c r="BB116" s="23"/>
      <c r="BC116" s="23"/>
      <c r="BD116" s="23"/>
      <c r="BE116" s="23"/>
      <c r="BF116" s="23"/>
      <c r="BG116" s="26"/>
    </row>
    <row r="117" spans="2:59" ht="7.7" customHeight="1" x14ac:dyDescent="0.15">
      <c r="B117" s="13"/>
      <c r="C117" s="40"/>
      <c r="D117" s="41"/>
      <c r="E117" s="41"/>
      <c r="F117" s="41"/>
      <c r="G117" s="41"/>
      <c r="H117" s="42"/>
      <c r="I117" s="31"/>
      <c r="J117" s="32"/>
      <c r="K117" s="33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20"/>
      <c r="BA117" s="23"/>
      <c r="BB117" s="23"/>
      <c r="BC117" s="23"/>
      <c r="BD117" s="23"/>
      <c r="BE117" s="23"/>
      <c r="BF117" s="23"/>
      <c r="BG117" s="26"/>
    </row>
    <row r="118" spans="2:59" ht="7.7" customHeight="1" x14ac:dyDescent="0.15">
      <c r="B118" s="13"/>
      <c r="C118" s="28">
        <v>45658</v>
      </c>
      <c r="D118" s="29"/>
      <c r="E118" s="29"/>
      <c r="F118" s="29"/>
      <c r="G118" s="29"/>
      <c r="H118" s="30"/>
      <c r="I118" s="46" t="s">
        <v>12</v>
      </c>
      <c r="J118" s="47"/>
      <c r="K118" s="48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21"/>
      <c r="BA118" s="24"/>
      <c r="BB118" s="24"/>
      <c r="BC118" s="24"/>
      <c r="BD118" s="24"/>
      <c r="BE118" s="24"/>
      <c r="BF118" s="24"/>
      <c r="BG118" s="27"/>
    </row>
    <row r="119" spans="2:59" ht="7.7" customHeight="1" x14ac:dyDescent="0.15">
      <c r="B119" s="13"/>
      <c r="C119" s="28"/>
      <c r="D119" s="29"/>
      <c r="E119" s="29"/>
      <c r="F119" s="29"/>
      <c r="G119" s="29"/>
      <c r="H119" s="30"/>
      <c r="I119" s="46"/>
      <c r="J119" s="47"/>
      <c r="K119" s="48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52"/>
      <c r="BA119" s="53"/>
      <c r="BB119" s="53"/>
      <c r="BC119" s="53"/>
      <c r="BD119" s="53"/>
      <c r="BE119" s="53"/>
      <c r="BF119" s="53"/>
      <c r="BG119" s="54"/>
    </row>
    <row r="120" spans="2:59" ht="7.7" customHeight="1" x14ac:dyDescent="0.15">
      <c r="B120" s="13"/>
      <c r="C120" s="28"/>
      <c r="D120" s="29"/>
      <c r="E120" s="29"/>
      <c r="F120" s="29"/>
      <c r="G120" s="29"/>
      <c r="H120" s="30"/>
      <c r="I120" s="46"/>
      <c r="J120" s="47"/>
      <c r="K120" s="48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55"/>
      <c r="BA120" s="56"/>
      <c r="BB120" s="56"/>
      <c r="BC120" s="56"/>
      <c r="BD120" s="56"/>
      <c r="BE120" s="56"/>
      <c r="BF120" s="56"/>
      <c r="BG120" s="57"/>
    </row>
    <row r="121" spans="2:59" ht="7.7" customHeight="1" x14ac:dyDescent="0.15">
      <c r="B121" s="13"/>
      <c r="C121" s="28"/>
      <c r="D121" s="29"/>
      <c r="E121" s="29"/>
      <c r="F121" s="29"/>
      <c r="G121" s="29"/>
      <c r="H121" s="30"/>
      <c r="I121" s="46"/>
      <c r="J121" s="47"/>
      <c r="K121" s="48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55"/>
      <c r="BA121" s="56"/>
      <c r="BB121" s="56"/>
      <c r="BC121" s="56"/>
      <c r="BD121" s="56"/>
      <c r="BE121" s="56"/>
      <c r="BF121" s="56"/>
      <c r="BG121" s="57"/>
    </row>
    <row r="122" spans="2:59" ht="7.7" customHeight="1" x14ac:dyDescent="0.15">
      <c r="B122" s="14"/>
      <c r="C122" s="43"/>
      <c r="D122" s="44"/>
      <c r="E122" s="44"/>
      <c r="F122" s="44"/>
      <c r="G122" s="44"/>
      <c r="H122" s="45"/>
      <c r="I122" s="49"/>
      <c r="J122" s="50"/>
      <c r="K122" s="51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58"/>
      <c r="BA122" s="59"/>
      <c r="BB122" s="59"/>
      <c r="BC122" s="59"/>
      <c r="BD122" s="59"/>
      <c r="BE122" s="59"/>
      <c r="BF122" s="59"/>
      <c r="BG122" s="60"/>
    </row>
    <row r="123" spans="2:59" ht="7.7" customHeight="1" x14ac:dyDescent="0.15">
      <c r="B123" s="12">
        <v>9</v>
      </c>
      <c r="C123" s="28">
        <v>45689</v>
      </c>
      <c r="D123" s="29"/>
      <c r="E123" s="29"/>
      <c r="F123" s="29"/>
      <c r="G123" s="29"/>
      <c r="H123" s="30"/>
      <c r="I123" s="31">
        <f>IF(C130="","",(DATEDIF(C123,C130,"ｍ")+1))</f>
        <v>3</v>
      </c>
      <c r="J123" s="32"/>
      <c r="K123" s="33"/>
      <c r="L123" s="34" t="s">
        <v>84</v>
      </c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5" t="s">
        <v>31</v>
      </c>
      <c r="AG123" s="35"/>
      <c r="AH123" s="35"/>
      <c r="AI123" s="35"/>
      <c r="AJ123" s="35"/>
      <c r="AK123" s="35"/>
      <c r="AL123" s="35"/>
      <c r="AM123" s="35"/>
      <c r="AN123" s="35"/>
      <c r="AO123" s="35"/>
      <c r="AP123" s="35" t="s">
        <v>50</v>
      </c>
      <c r="AQ123" s="35"/>
      <c r="AR123" s="35"/>
      <c r="AS123" s="35"/>
      <c r="AT123" s="35"/>
      <c r="AU123" s="35"/>
      <c r="AV123" s="35"/>
      <c r="AW123" s="35"/>
      <c r="AX123" s="35"/>
      <c r="AY123" s="35"/>
      <c r="AZ123" s="38"/>
      <c r="BA123" s="15" t="s">
        <v>32</v>
      </c>
      <c r="BB123" s="15" t="s">
        <v>32</v>
      </c>
      <c r="BC123" s="15" t="s">
        <v>32</v>
      </c>
      <c r="BD123" s="15" t="s">
        <v>32</v>
      </c>
      <c r="BE123" s="15"/>
      <c r="BF123" s="15"/>
      <c r="BG123" s="17" t="s">
        <v>32</v>
      </c>
    </row>
    <row r="124" spans="2:59" ht="7.7" customHeight="1" x14ac:dyDescent="0.15">
      <c r="B124" s="13"/>
      <c r="C124" s="28"/>
      <c r="D124" s="29"/>
      <c r="E124" s="29"/>
      <c r="F124" s="29"/>
      <c r="G124" s="29"/>
      <c r="H124" s="30"/>
      <c r="I124" s="31"/>
      <c r="J124" s="32"/>
      <c r="K124" s="33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9"/>
      <c r="BA124" s="16"/>
      <c r="BB124" s="16"/>
      <c r="BC124" s="16"/>
      <c r="BD124" s="16"/>
      <c r="BE124" s="16"/>
      <c r="BF124" s="16"/>
      <c r="BG124" s="18"/>
    </row>
    <row r="125" spans="2:59" ht="21" customHeight="1" x14ac:dyDescent="0.15">
      <c r="B125" s="13"/>
      <c r="C125" s="28"/>
      <c r="D125" s="29"/>
      <c r="E125" s="29"/>
      <c r="F125" s="29"/>
      <c r="G125" s="29"/>
      <c r="H125" s="30"/>
      <c r="I125" s="31"/>
      <c r="J125" s="32"/>
      <c r="K125" s="33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19" t="s">
        <v>26</v>
      </c>
      <c r="BA125" s="22" t="s">
        <v>13</v>
      </c>
      <c r="BB125" s="22" t="s">
        <v>20</v>
      </c>
      <c r="BC125" s="22" t="s">
        <v>21</v>
      </c>
      <c r="BD125" s="22" t="s">
        <v>22</v>
      </c>
      <c r="BE125" s="22" t="s">
        <v>14</v>
      </c>
      <c r="BF125" s="22" t="s">
        <v>15</v>
      </c>
      <c r="BG125" s="25" t="s">
        <v>16</v>
      </c>
    </row>
    <row r="126" spans="2:59" ht="21" customHeight="1" x14ac:dyDescent="0.15">
      <c r="B126" s="13"/>
      <c r="C126" s="28"/>
      <c r="D126" s="29"/>
      <c r="E126" s="29"/>
      <c r="F126" s="29"/>
      <c r="G126" s="29"/>
      <c r="H126" s="30"/>
      <c r="I126" s="31"/>
      <c r="J126" s="32"/>
      <c r="K126" s="33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20"/>
      <c r="BA126" s="23"/>
      <c r="BB126" s="23"/>
      <c r="BC126" s="23"/>
      <c r="BD126" s="23"/>
      <c r="BE126" s="23"/>
      <c r="BF126" s="23"/>
      <c r="BG126" s="26"/>
    </row>
    <row r="127" spans="2:59" ht="21" customHeight="1" x14ac:dyDescent="0.15">
      <c r="B127" s="13"/>
      <c r="C127" s="28"/>
      <c r="D127" s="29"/>
      <c r="E127" s="29"/>
      <c r="F127" s="29"/>
      <c r="G127" s="29"/>
      <c r="H127" s="30"/>
      <c r="I127" s="31"/>
      <c r="J127" s="32"/>
      <c r="K127" s="33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20"/>
      <c r="BA127" s="23"/>
      <c r="BB127" s="23"/>
      <c r="BC127" s="23"/>
      <c r="BD127" s="23"/>
      <c r="BE127" s="23"/>
      <c r="BF127" s="23"/>
      <c r="BG127" s="26"/>
    </row>
    <row r="128" spans="2:59" ht="21" customHeight="1" x14ac:dyDescent="0.15">
      <c r="B128" s="13"/>
      <c r="C128" s="40" t="s">
        <v>23</v>
      </c>
      <c r="D128" s="41"/>
      <c r="E128" s="41"/>
      <c r="F128" s="41"/>
      <c r="G128" s="41"/>
      <c r="H128" s="42"/>
      <c r="I128" s="31"/>
      <c r="J128" s="32"/>
      <c r="K128" s="33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20"/>
      <c r="BA128" s="23"/>
      <c r="BB128" s="23"/>
      <c r="BC128" s="23"/>
      <c r="BD128" s="23"/>
      <c r="BE128" s="23"/>
      <c r="BF128" s="23"/>
      <c r="BG128" s="26"/>
    </row>
    <row r="129" spans="2:59" ht="21" customHeight="1" x14ac:dyDescent="0.15">
      <c r="B129" s="13"/>
      <c r="C129" s="40"/>
      <c r="D129" s="41"/>
      <c r="E129" s="41"/>
      <c r="F129" s="41"/>
      <c r="G129" s="41"/>
      <c r="H129" s="42"/>
      <c r="I129" s="31"/>
      <c r="J129" s="32"/>
      <c r="K129" s="33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20"/>
      <c r="BA129" s="23"/>
      <c r="BB129" s="23"/>
      <c r="BC129" s="23"/>
      <c r="BD129" s="23"/>
      <c r="BE129" s="23"/>
      <c r="BF129" s="23"/>
      <c r="BG129" s="26"/>
    </row>
    <row r="130" spans="2:59" ht="21" customHeight="1" x14ac:dyDescent="0.15">
      <c r="B130" s="13"/>
      <c r="C130" s="28">
        <v>45748</v>
      </c>
      <c r="D130" s="29"/>
      <c r="E130" s="29"/>
      <c r="F130" s="29"/>
      <c r="G130" s="29"/>
      <c r="H130" s="30"/>
      <c r="I130" s="46" t="s">
        <v>12</v>
      </c>
      <c r="J130" s="47"/>
      <c r="K130" s="48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21"/>
      <c r="BA130" s="24"/>
      <c r="BB130" s="24"/>
      <c r="BC130" s="24"/>
      <c r="BD130" s="24"/>
      <c r="BE130" s="24"/>
      <c r="BF130" s="24"/>
      <c r="BG130" s="27"/>
    </row>
    <row r="131" spans="2:59" ht="7.7" customHeight="1" x14ac:dyDescent="0.15">
      <c r="B131" s="13"/>
      <c r="C131" s="28"/>
      <c r="D131" s="29"/>
      <c r="E131" s="29"/>
      <c r="F131" s="29"/>
      <c r="G131" s="29"/>
      <c r="H131" s="30"/>
      <c r="I131" s="46"/>
      <c r="J131" s="47"/>
      <c r="K131" s="48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52"/>
      <c r="BA131" s="53"/>
      <c r="BB131" s="53"/>
      <c r="BC131" s="53"/>
      <c r="BD131" s="53"/>
      <c r="BE131" s="53"/>
      <c r="BF131" s="53"/>
      <c r="BG131" s="54"/>
    </row>
    <row r="132" spans="2:59" ht="7.7" customHeight="1" x14ac:dyDescent="0.15">
      <c r="B132" s="13"/>
      <c r="C132" s="28"/>
      <c r="D132" s="29"/>
      <c r="E132" s="29"/>
      <c r="F132" s="29"/>
      <c r="G132" s="29"/>
      <c r="H132" s="30"/>
      <c r="I132" s="46"/>
      <c r="J132" s="47"/>
      <c r="K132" s="48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55"/>
      <c r="BA132" s="56"/>
      <c r="BB132" s="56"/>
      <c r="BC132" s="56"/>
      <c r="BD132" s="56"/>
      <c r="BE132" s="56"/>
      <c r="BF132" s="56"/>
      <c r="BG132" s="57"/>
    </row>
    <row r="133" spans="2:59" ht="7.7" customHeight="1" x14ac:dyDescent="0.15">
      <c r="B133" s="13"/>
      <c r="C133" s="28"/>
      <c r="D133" s="29"/>
      <c r="E133" s="29"/>
      <c r="F133" s="29"/>
      <c r="G133" s="29"/>
      <c r="H133" s="30"/>
      <c r="I133" s="46"/>
      <c r="J133" s="47"/>
      <c r="K133" s="48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55"/>
      <c r="BA133" s="56"/>
      <c r="BB133" s="56"/>
      <c r="BC133" s="56"/>
      <c r="BD133" s="56"/>
      <c r="BE133" s="56"/>
      <c r="BF133" s="56"/>
      <c r="BG133" s="57"/>
    </row>
    <row r="134" spans="2:59" ht="7.7" customHeight="1" x14ac:dyDescent="0.15">
      <c r="B134" s="14"/>
      <c r="C134" s="43"/>
      <c r="D134" s="44"/>
      <c r="E134" s="44"/>
      <c r="F134" s="44"/>
      <c r="G134" s="44"/>
      <c r="H134" s="45"/>
      <c r="I134" s="49"/>
      <c r="J134" s="50"/>
      <c r="K134" s="51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58"/>
      <c r="BA134" s="59"/>
      <c r="BB134" s="59"/>
      <c r="BC134" s="59"/>
      <c r="BD134" s="59"/>
      <c r="BE134" s="59"/>
      <c r="BF134" s="59"/>
      <c r="BG134" s="60"/>
    </row>
    <row r="135" spans="2:59" ht="7.7" customHeight="1" x14ac:dyDescent="0.15">
      <c r="B135" s="12">
        <v>10</v>
      </c>
      <c r="C135" s="28">
        <v>45748</v>
      </c>
      <c r="D135" s="29"/>
      <c r="E135" s="29"/>
      <c r="F135" s="29"/>
      <c r="G135" s="29"/>
      <c r="H135" s="30"/>
      <c r="I135" s="31">
        <f>IF(C142="","",(DATEDIF(C135,C142,"ｍ")+1))</f>
        <v>5</v>
      </c>
      <c r="J135" s="32"/>
      <c r="K135" s="33"/>
      <c r="L135" s="34" t="s">
        <v>85</v>
      </c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5" t="s">
        <v>59</v>
      </c>
      <c r="AG135" s="35"/>
      <c r="AH135" s="35"/>
      <c r="AI135" s="35"/>
      <c r="AJ135" s="35"/>
      <c r="AK135" s="35"/>
      <c r="AL135" s="35"/>
      <c r="AM135" s="35"/>
      <c r="AN135" s="35"/>
      <c r="AO135" s="35"/>
      <c r="AP135" s="37" t="s">
        <v>60</v>
      </c>
      <c r="AQ135" s="37"/>
      <c r="AR135" s="37"/>
      <c r="AS135" s="37"/>
      <c r="AT135" s="37"/>
      <c r="AU135" s="37"/>
      <c r="AV135" s="37"/>
      <c r="AW135" s="37"/>
      <c r="AX135" s="37"/>
      <c r="AY135" s="37"/>
      <c r="AZ135" s="15"/>
      <c r="BA135" s="15" t="s">
        <v>32</v>
      </c>
      <c r="BB135" s="15" t="s">
        <v>32</v>
      </c>
      <c r="BC135" s="15" t="s">
        <v>32</v>
      </c>
      <c r="BD135" s="15" t="s">
        <v>32</v>
      </c>
      <c r="BE135" s="15"/>
      <c r="BF135" s="15"/>
      <c r="BG135" s="61" t="s">
        <v>32</v>
      </c>
    </row>
    <row r="136" spans="2:59" ht="7.7" customHeight="1" x14ac:dyDescent="0.15">
      <c r="B136" s="13"/>
      <c r="C136" s="28"/>
      <c r="D136" s="29"/>
      <c r="E136" s="29"/>
      <c r="F136" s="29"/>
      <c r="G136" s="29"/>
      <c r="H136" s="30"/>
      <c r="I136" s="31"/>
      <c r="J136" s="32"/>
      <c r="K136" s="33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16"/>
      <c r="BA136" s="16"/>
      <c r="BB136" s="16"/>
      <c r="BC136" s="16"/>
      <c r="BD136" s="16"/>
      <c r="BE136" s="16"/>
      <c r="BF136" s="16"/>
      <c r="BG136" s="18"/>
    </row>
    <row r="137" spans="2:59" ht="7.7" customHeight="1" x14ac:dyDescent="0.15">
      <c r="B137" s="13"/>
      <c r="C137" s="28"/>
      <c r="D137" s="29"/>
      <c r="E137" s="29"/>
      <c r="F137" s="29"/>
      <c r="G137" s="29"/>
      <c r="H137" s="30"/>
      <c r="I137" s="31"/>
      <c r="J137" s="32"/>
      <c r="K137" s="33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19" t="s">
        <v>26</v>
      </c>
      <c r="BA137" s="22" t="s">
        <v>13</v>
      </c>
      <c r="BB137" s="22" t="s">
        <v>20</v>
      </c>
      <c r="BC137" s="22" t="s">
        <v>21</v>
      </c>
      <c r="BD137" s="22" t="s">
        <v>22</v>
      </c>
      <c r="BE137" s="22" t="s">
        <v>14</v>
      </c>
      <c r="BF137" s="22" t="s">
        <v>15</v>
      </c>
      <c r="BG137" s="25" t="s">
        <v>16</v>
      </c>
    </row>
    <row r="138" spans="2:59" ht="7.7" customHeight="1" x14ac:dyDescent="0.15">
      <c r="B138" s="13"/>
      <c r="C138" s="28"/>
      <c r="D138" s="29"/>
      <c r="E138" s="29"/>
      <c r="F138" s="29"/>
      <c r="G138" s="29"/>
      <c r="H138" s="30"/>
      <c r="I138" s="31"/>
      <c r="J138" s="32"/>
      <c r="K138" s="33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20"/>
      <c r="BA138" s="23"/>
      <c r="BB138" s="23"/>
      <c r="BC138" s="23"/>
      <c r="BD138" s="23"/>
      <c r="BE138" s="23"/>
      <c r="BF138" s="23"/>
      <c r="BG138" s="26"/>
    </row>
    <row r="139" spans="2:59" ht="7.7" customHeight="1" x14ac:dyDescent="0.15">
      <c r="B139" s="13"/>
      <c r="C139" s="28"/>
      <c r="D139" s="29"/>
      <c r="E139" s="29"/>
      <c r="F139" s="29"/>
      <c r="G139" s="29"/>
      <c r="H139" s="30"/>
      <c r="I139" s="31"/>
      <c r="J139" s="32"/>
      <c r="K139" s="33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20"/>
      <c r="BA139" s="23"/>
      <c r="BB139" s="23"/>
      <c r="BC139" s="23"/>
      <c r="BD139" s="23"/>
      <c r="BE139" s="23"/>
      <c r="BF139" s="23"/>
      <c r="BG139" s="26"/>
    </row>
    <row r="140" spans="2:59" ht="7.7" customHeight="1" x14ac:dyDescent="0.15">
      <c r="B140" s="13"/>
      <c r="C140" s="40" t="s">
        <v>23</v>
      </c>
      <c r="D140" s="41"/>
      <c r="E140" s="41"/>
      <c r="F140" s="41"/>
      <c r="G140" s="41"/>
      <c r="H140" s="42"/>
      <c r="I140" s="31"/>
      <c r="J140" s="32"/>
      <c r="K140" s="33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20"/>
      <c r="BA140" s="23"/>
      <c r="BB140" s="23"/>
      <c r="BC140" s="23"/>
      <c r="BD140" s="23"/>
      <c r="BE140" s="23"/>
      <c r="BF140" s="23"/>
      <c r="BG140" s="26"/>
    </row>
    <row r="141" spans="2:59" ht="7.7" customHeight="1" x14ac:dyDescent="0.15">
      <c r="B141" s="13"/>
      <c r="C141" s="40"/>
      <c r="D141" s="41"/>
      <c r="E141" s="41"/>
      <c r="F141" s="41"/>
      <c r="G141" s="41"/>
      <c r="H141" s="42"/>
      <c r="I141" s="31"/>
      <c r="J141" s="32"/>
      <c r="K141" s="33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20"/>
      <c r="BA141" s="23"/>
      <c r="BB141" s="23"/>
      <c r="BC141" s="23"/>
      <c r="BD141" s="23"/>
      <c r="BE141" s="23"/>
      <c r="BF141" s="23"/>
      <c r="BG141" s="26"/>
    </row>
    <row r="142" spans="2:59" ht="7.7" customHeight="1" x14ac:dyDescent="0.15">
      <c r="B142" s="13"/>
      <c r="C142" s="28">
        <v>45870</v>
      </c>
      <c r="D142" s="29"/>
      <c r="E142" s="29"/>
      <c r="F142" s="29"/>
      <c r="G142" s="29"/>
      <c r="H142" s="30"/>
      <c r="I142" s="46" t="s">
        <v>12</v>
      </c>
      <c r="J142" s="47"/>
      <c r="K142" s="48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21"/>
      <c r="BA142" s="24"/>
      <c r="BB142" s="24"/>
      <c r="BC142" s="24"/>
      <c r="BD142" s="24"/>
      <c r="BE142" s="24"/>
      <c r="BF142" s="24"/>
      <c r="BG142" s="27"/>
    </row>
    <row r="143" spans="2:59" ht="7.7" customHeight="1" x14ac:dyDescent="0.15">
      <c r="B143" s="13"/>
      <c r="C143" s="28"/>
      <c r="D143" s="29"/>
      <c r="E143" s="29"/>
      <c r="F143" s="29"/>
      <c r="G143" s="29"/>
      <c r="H143" s="30"/>
      <c r="I143" s="46"/>
      <c r="J143" s="47"/>
      <c r="K143" s="48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52"/>
      <c r="BA143" s="53"/>
      <c r="BB143" s="53"/>
      <c r="BC143" s="53"/>
      <c r="BD143" s="53"/>
      <c r="BE143" s="53"/>
      <c r="BF143" s="53"/>
      <c r="BG143" s="54"/>
    </row>
    <row r="144" spans="2:59" ht="7.7" customHeight="1" x14ac:dyDescent="0.15">
      <c r="B144" s="13"/>
      <c r="C144" s="28"/>
      <c r="D144" s="29"/>
      <c r="E144" s="29"/>
      <c r="F144" s="29"/>
      <c r="G144" s="29"/>
      <c r="H144" s="30"/>
      <c r="I144" s="46"/>
      <c r="J144" s="47"/>
      <c r="K144" s="48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55"/>
      <c r="BA144" s="56"/>
      <c r="BB144" s="56"/>
      <c r="BC144" s="56"/>
      <c r="BD144" s="56"/>
      <c r="BE144" s="56"/>
      <c r="BF144" s="56"/>
      <c r="BG144" s="57"/>
    </row>
    <row r="145" spans="2:59" ht="7.7" customHeight="1" x14ac:dyDescent="0.15">
      <c r="B145" s="13"/>
      <c r="C145" s="28"/>
      <c r="D145" s="29"/>
      <c r="E145" s="29"/>
      <c r="F145" s="29"/>
      <c r="G145" s="29"/>
      <c r="H145" s="30"/>
      <c r="I145" s="46"/>
      <c r="J145" s="47"/>
      <c r="K145" s="48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55"/>
      <c r="BA145" s="56"/>
      <c r="BB145" s="56"/>
      <c r="BC145" s="56"/>
      <c r="BD145" s="56"/>
      <c r="BE145" s="56"/>
      <c r="BF145" s="56"/>
      <c r="BG145" s="57"/>
    </row>
    <row r="146" spans="2:59" ht="7.7" customHeight="1" x14ac:dyDescent="0.15">
      <c r="B146" s="14"/>
      <c r="C146" s="43"/>
      <c r="D146" s="44"/>
      <c r="E146" s="44"/>
      <c r="F146" s="44"/>
      <c r="G146" s="44"/>
      <c r="H146" s="45"/>
      <c r="I146" s="49"/>
      <c r="J146" s="50"/>
      <c r="K146" s="51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58"/>
      <c r="BA146" s="59"/>
      <c r="BB146" s="59"/>
      <c r="BC146" s="59"/>
      <c r="BD146" s="59"/>
      <c r="BE146" s="59"/>
      <c r="BF146" s="59"/>
      <c r="BG146" s="60"/>
    </row>
    <row r="147" spans="2:59" ht="7.7" customHeight="1" x14ac:dyDescent="0.15">
      <c r="B147" s="12">
        <v>11</v>
      </c>
      <c r="C147" s="28">
        <v>45901</v>
      </c>
      <c r="D147" s="29"/>
      <c r="E147" s="29"/>
      <c r="F147" s="29"/>
      <c r="G147" s="29"/>
      <c r="H147" s="30"/>
      <c r="I147" s="31">
        <f>IF(C154="","",(DATEDIF(C147,C154,"ｍ")+1))</f>
        <v>2</v>
      </c>
      <c r="J147" s="32"/>
      <c r="K147" s="33"/>
      <c r="L147" s="34" t="s">
        <v>72</v>
      </c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7" t="s">
        <v>70</v>
      </c>
      <c r="AQ147" s="37"/>
      <c r="AR147" s="37"/>
      <c r="AS147" s="37"/>
      <c r="AT147" s="37"/>
      <c r="AU147" s="37"/>
      <c r="AV147" s="37"/>
      <c r="AW147" s="37"/>
      <c r="AX147" s="37"/>
      <c r="AY147" s="37"/>
      <c r="AZ147" s="38"/>
      <c r="BA147" s="15"/>
      <c r="BB147" s="15"/>
      <c r="BC147" s="15" t="s">
        <v>32</v>
      </c>
      <c r="BD147" s="15"/>
      <c r="BE147" s="15"/>
      <c r="BF147" s="15"/>
      <c r="BG147" s="17" t="s">
        <v>32</v>
      </c>
    </row>
    <row r="148" spans="2:59" ht="7.7" customHeight="1" x14ac:dyDescent="0.15">
      <c r="B148" s="13"/>
      <c r="C148" s="28"/>
      <c r="D148" s="29"/>
      <c r="E148" s="29"/>
      <c r="F148" s="29"/>
      <c r="G148" s="29"/>
      <c r="H148" s="30"/>
      <c r="I148" s="31"/>
      <c r="J148" s="32"/>
      <c r="K148" s="33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9"/>
      <c r="BA148" s="16"/>
      <c r="BB148" s="16"/>
      <c r="BC148" s="16"/>
      <c r="BD148" s="16"/>
      <c r="BE148" s="16"/>
      <c r="BF148" s="16"/>
      <c r="BG148" s="18"/>
    </row>
    <row r="149" spans="2:59" ht="7.7" customHeight="1" x14ac:dyDescent="0.15">
      <c r="B149" s="13"/>
      <c r="C149" s="28"/>
      <c r="D149" s="29"/>
      <c r="E149" s="29"/>
      <c r="F149" s="29"/>
      <c r="G149" s="29"/>
      <c r="H149" s="30"/>
      <c r="I149" s="31"/>
      <c r="J149" s="32"/>
      <c r="K149" s="33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19" t="s">
        <v>26</v>
      </c>
      <c r="BA149" s="22" t="s">
        <v>13</v>
      </c>
      <c r="BB149" s="22" t="s">
        <v>20</v>
      </c>
      <c r="BC149" s="22" t="s">
        <v>21</v>
      </c>
      <c r="BD149" s="22" t="s">
        <v>22</v>
      </c>
      <c r="BE149" s="22" t="s">
        <v>14</v>
      </c>
      <c r="BF149" s="22" t="s">
        <v>15</v>
      </c>
      <c r="BG149" s="25" t="s">
        <v>16</v>
      </c>
    </row>
    <row r="150" spans="2:59" ht="7.7" customHeight="1" x14ac:dyDescent="0.15">
      <c r="B150" s="13"/>
      <c r="C150" s="28"/>
      <c r="D150" s="29"/>
      <c r="E150" s="29"/>
      <c r="F150" s="29"/>
      <c r="G150" s="29"/>
      <c r="H150" s="30"/>
      <c r="I150" s="31"/>
      <c r="J150" s="32"/>
      <c r="K150" s="33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20"/>
      <c r="BA150" s="23"/>
      <c r="BB150" s="23"/>
      <c r="BC150" s="23"/>
      <c r="BD150" s="23"/>
      <c r="BE150" s="23"/>
      <c r="BF150" s="23"/>
      <c r="BG150" s="26"/>
    </row>
    <row r="151" spans="2:59" ht="7.7" customHeight="1" x14ac:dyDescent="0.15">
      <c r="B151" s="13"/>
      <c r="C151" s="28"/>
      <c r="D151" s="29"/>
      <c r="E151" s="29"/>
      <c r="F151" s="29"/>
      <c r="G151" s="29"/>
      <c r="H151" s="30"/>
      <c r="I151" s="31"/>
      <c r="J151" s="32"/>
      <c r="K151" s="33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20"/>
      <c r="BA151" s="23"/>
      <c r="BB151" s="23"/>
      <c r="BC151" s="23"/>
      <c r="BD151" s="23"/>
      <c r="BE151" s="23"/>
      <c r="BF151" s="23"/>
      <c r="BG151" s="26"/>
    </row>
    <row r="152" spans="2:59" ht="7.7" customHeight="1" x14ac:dyDescent="0.15">
      <c r="B152" s="13"/>
      <c r="C152" s="40" t="s">
        <v>23</v>
      </c>
      <c r="D152" s="41"/>
      <c r="E152" s="41"/>
      <c r="F152" s="41"/>
      <c r="G152" s="41"/>
      <c r="H152" s="42"/>
      <c r="I152" s="31"/>
      <c r="J152" s="32"/>
      <c r="K152" s="33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20"/>
      <c r="BA152" s="23"/>
      <c r="BB152" s="23"/>
      <c r="BC152" s="23"/>
      <c r="BD152" s="23"/>
      <c r="BE152" s="23"/>
      <c r="BF152" s="23"/>
      <c r="BG152" s="26"/>
    </row>
    <row r="153" spans="2:59" ht="7.7" customHeight="1" x14ac:dyDescent="0.15">
      <c r="B153" s="13"/>
      <c r="C153" s="40"/>
      <c r="D153" s="41"/>
      <c r="E153" s="41"/>
      <c r="F153" s="41"/>
      <c r="G153" s="41"/>
      <c r="H153" s="42"/>
      <c r="I153" s="31"/>
      <c r="J153" s="32"/>
      <c r="K153" s="33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20"/>
      <c r="BA153" s="23"/>
      <c r="BB153" s="23"/>
      <c r="BC153" s="23"/>
      <c r="BD153" s="23"/>
      <c r="BE153" s="23"/>
      <c r="BF153" s="23"/>
      <c r="BG153" s="26"/>
    </row>
    <row r="154" spans="2:59" ht="7.7" customHeight="1" x14ac:dyDescent="0.15">
      <c r="B154" s="13"/>
      <c r="C154" s="28">
        <v>45960</v>
      </c>
      <c r="D154" s="29"/>
      <c r="E154" s="29"/>
      <c r="F154" s="29"/>
      <c r="G154" s="29"/>
      <c r="H154" s="30"/>
      <c r="I154" s="46" t="s">
        <v>12</v>
      </c>
      <c r="J154" s="47"/>
      <c r="K154" s="48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21"/>
      <c r="BA154" s="24"/>
      <c r="BB154" s="24"/>
      <c r="BC154" s="24"/>
      <c r="BD154" s="24"/>
      <c r="BE154" s="24"/>
      <c r="BF154" s="24"/>
      <c r="BG154" s="27"/>
    </row>
    <row r="155" spans="2:59" ht="7.7" customHeight="1" x14ac:dyDescent="0.15">
      <c r="B155" s="13"/>
      <c r="C155" s="28"/>
      <c r="D155" s="29"/>
      <c r="E155" s="29"/>
      <c r="F155" s="29"/>
      <c r="G155" s="29"/>
      <c r="H155" s="30"/>
      <c r="I155" s="46"/>
      <c r="J155" s="47"/>
      <c r="K155" s="48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52"/>
      <c r="BA155" s="53"/>
      <c r="BB155" s="53"/>
      <c r="BC155" s="53"/>
      <c r="BD155" s="53"/>
      <c r="BE155" s="53"/>
      <c r="BF155" s="53"/>
      <c r="BG155" s="54"/>
    </row>
    <row r="156" spans="2:59" ht="7.7" customHeight="1" x14ac:dyDescent="0.15">
      <c r="B156" s="13"/>
      <c r="C156" s="28"/>
      <c r="D156" s="29"/>
      <c r="E156" s="29"/>
      <c r="F156" s="29"/>
      <c r="G156" s="29"/>
      <c r="H156" s="30"/>
      <c r="I156" s="46"/>
      <c r="J156" s="47"/>
      <c r="K156" s="48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55"/>
      <c r="BA156" s="56"/>
      <c r="BB156" s="56"/>
      <c r="BC156" s="56"/>
      <c r="BD156" s="56"/>
      <c r="BE156" s="56"/>
      <c r="BF156" s="56"/>
      <c r="BG156" s="57"/>
    </row>
    <row r="157" spans="2:59" ht="7.7" customHeight="1" x14ac:dyDescent="0.15">
      <c r="B157" s="13"/>
      <c r="C157" s="28"/>
      <c r="D157" s="29"/>
      <c r="E157" s="29"/>
      <c r="F157" s="29"/>
      <c r="G157" s="29"/>
      <c r="H157" s="30"/>
      <c r="I157" s="46"/>
      <c r="J157" s="47"/>
      <c r="K157" s="48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55"/>
      <c r="BA157" s="56"/>
      <c r="BB157" s="56"/>
      <c r="BC157" s="56"/>
      <c r="BD157" s="56"/>
      <c r="BE157" s="56"/>
      <c r="BF157" s="56"/>
      <c r="BG157" s="57"/>
    </row>
    <row r="158" spans="2:59" ht="7.7" customHeight="1" x14ac:dyDescent="0.15">
      <c r="B158" s="14"/>
      <c r="C158" s="43"/>
      <c r="D158" s="44"/>
      <c r="E158" s="44"/>
      <c r="F158" s="44"/>
      <c r="G158" s="44"/>
      <c r="H158" s="45"/>
      <c r="I158" s="49"/>
      <c r="J158" s="50"/>
      <c r="K158" s="51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58"/>
      <c r="BA158" s="59"/>
      <c r="BB158" s="59"/>
      <c r="BC158" s="59"/>
      <c r="BD158" s="59"/>
      <c r="BE158" s="59"/>
      <c r="BF158" s="59"/>
      <c r="BG158" s="60"/>
    </row>
    <row r="159" spans="2:59" ht="7.7" customHeight="1" x14ac:dyDescent="0.15">
      <c r="B159" s="12">
        <v>12</v>
      </c>
      <c r="C159" s="28">
        <v>45962</v>
      </c>
      <c r="D159" s="29"/>
      <c r="E159" s="29"/>
      <c r="F159" s="29"/>
      <c r="G159" s="29"/>
      <c r="H159" s="30"/>
      <c r="I159" s="31">
        <f ca="1">IF(C166="","",(DATEDIF(C159,C166,"ｍ")+1))</f>
        <v>2</v>
      </c>
      <c r="J159" s="32"/>
      <c r="K159" s="33"/>
      <c r="L159" s="34" t="s">
        <v>71</v>
      </c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5" t="s">
        <v>67</v>
      </c>
      <c r="AG159" s="35"/>
      <c r="AH159" s="35"/>
      <c r="AI159" s="35"/>
      <c r="AJ159" s="35"/>
      <c r="AK159" s="35"/>
      <c r="AL159" s="35"/>
      <c r="AM159" s="35"/>
      <c r="AN159" s="35"/>
      <c r="AO159" s="35"/>
      <c r="AP159" s="37" t="s">
        <v>66</v>
      </c>
      <c r="AQ159" s="37"/>
      <c r="AR159" s="37"/>
      <c r="AS159" s="37"/>
      <c r="AT159" s="37"/>
      <c r="AU159" s="37"/>
      <c r="AV159" s="37"/>
      <c r="AW159" s="37"/>
      <c r="AX159" s="37"/>
      <c r="AY159" s="37"/>
      <c r="AZ159" s="15" t="s">
        <v>32</v>
      </c>
      <c r="BA159" s="15" t="s">
        <v>32</v>
      </c>
      <c r="BB159" s="15"/>
      <c r="BC159" s="15"/>
      <c r="BD159" s="15"/>
      <c r="BE159" s="15"/>
      <c r="BF159" s="15"/>
      <c r="BG159" s="61"/>
    </row>
    <row r="160" spans="2:59" ht="7.7" customHeight="1" x14ac:dyDescent="0.15">
      <c r="B160" s="13"/>
      <c r="C160" s="28"/>
      <c r="D160" s="29"/>
      <c r="E160" s="29"/>
      <c r="F160" s="29"/>
      <c r="G160" s="29"/>
      <c r="H160" s="30"/>
      <c r="I160" s="31"/>
      <c r="J160" s="32"/>
      <c r="K160" s="33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16"/>
      <c r="BA160" s="16"/>
      <c r="BB160" s="16"/>
      <c r="BC160" s="16"/>
      <c r="BD160" s="16"/>
      <c r="BE160" s="16"/>
      <c r="BF160" s="16"/>
      <c r="BG160" s="18"/>
    </row>
    <row r="161" spans="2:59" ht="9" customHeight="1" x14ac:dyDescent="0.15">
      <c r="B161" s="13"/>
      <c r="C161" s="28"/>
      <c r="D161" s="29"/>
      <c r="E161" s="29"/>
      <c r="F161" s="29"/>
      <c r="G161" s="29"/>
      <c r="H161" s="30"/>
      <c r="I161" s="31"/>
      <c r="J161" s="32"/>
      <c r="K161" s="33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19" t="s">
        <v>26</v>
      </c>
      <c r="BA161" s="22" t="s">
        <v>13</v>
      </c>
      <c r="BB161" s="22" t="s">
        <v>20</v>
      </c>
      <c r="BC161" s="22" t="s">
        <v>21</v>
      </c>
      <c r="BD161" s="22" t="s">
        <v>22</v>
      </c>
      <c r="BE161" s="22" t="s">
        <v>14</v>
      </c>
      <c r="BF161" s="22" t="s">
        <v>15</v>
      </c>
      <c r="BG161" s="25" t="s">
        <v>16</v>
      </c>
    </row>
    <row r="162" spans="2:59" ht="9" customHeight="1" x14ac:dyDescent="0.15">
      <c r="B162" s="13"/>
      <c r="C162" s="28"/>
      <c r="D162" s="29"/>
      <c r="E162" s="29"/>
      <c r="F162" s="29"/>
      <c r="G162" s="29"/>
      <c r="H162" s="30"/>
      <c r="I162" s="31"/>
      <c r="J162" s="32"/>
      <c r="K162" s="33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20"/>
      <c r="BA162" s="23"/>
      <c r="BB162" s="23"/>
      <c r="BC162" s="23"/>
      <c r="BD162" s="23"/>
      <c r="BE162" s="23"/>
      <c r="BF162" s="23"/>
      <c r="BG162" s="26"/>
    </row>
    <row r="163" spans="2:59" ht="9" customHeight="1" x14ac:dyDescent="0.15">
      <c r="B163" s="13"/>
      <c r="C163" s="28"/>
      <c r="D163" s="29"/>
      <c r="E163" s="29"/>
      <c r="F163" s="29"/>
      <c r="G163" s="29"/>
      <c r="H163" s="30"/>
      <c r="I163" s="31"/>
      <c r="J163" s="32"/>
      <c r="K163" s="33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20"/>
      <c r="BA163" s="23"/>
      <c r="BB163" s="23"/>
      <c r="BC163" s="23"/>
      <c r="BD163" s="23"/>
      <c r="BE163" s="23"/>
      <c r="BF163" s="23"/>
      <c r="BG163" s="26"/>
    </row>
    <row r="164" spans="2:59" ht="9" customHeight="1" x14ac:dyDescent="0.15">
      <c r="B164" s="13"/>
      <c r="C164" s="40" t="s">
        <v>23</v>
      </c>
      <c r="D164" s="41"/>
      <c r="E164" s="41"/>
      <c r="F164" s="41"/>
      <c r="G164" s="41"/>
      <c r="H164" s="42"/>
      <c r="I164" s="31"/>
      <c r="J164" s="32"/>
      <c r="K164" s="33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20"/>
      <c r="BA164" s="23"/>
      <c r="BB164" s="23"/>
      <c r="BC164" s="23"/>
      <c r="BD164" s="23"/>
      <c r="BE164" s="23"/>
      <c r="BF164" s="23"/>
      <c r="BG164" s="26"/>
    </row>
    <row r="165" spans="2:59" ht="9" customHeight="1" x14ac:dyDescent="0.15">
      <c r="B165" s="13"/>
      <c r="C165" s="40"/>
      <c r="D165" s="41"/>
      <c r="E165" s="41"/>
      <c r="F165" s="41"/>
      <c r="G165" s="41"/>
      <c r="H165" s="42"/>
      <c r="I165" s="31"/>
      <c r="J165" s="32"/>
      <c r="K165" s="33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20"/>
      <c r="BA165" s="23"/>
      <c r="BB165" s="23"/>
      <c r="BC165" s="23"/>
      <c r="BD165" s="23"/>
      <c r="BE165" s="23"/>
      <c r="BF165" s="23"/>
      <c r="BG165" s="26"/>
    </row>
    <row r="166" spans="2:59" ht="9" customHeight="1" x14ac:dyDescent="0.15">
      <c r="B166" s="13"/>
      <c r="C166" s="28">
        <f ca="1">TODAY()</f>
        <v>46010</v>
      </c>
      <c r="D166" s="29"/>
      <c r="E166" s="29"/>
      <c r="F166" s="29"/>
      <c r="G166" s="29"/>
      <c r="H166" s="30"/>
      <c r="I166" s="46" t="s">
        <v>12</v>
      </c>
      <c r="J166" s="47"/>
      <c r="K166" s="48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21"/>
      <c r="BA166" s="24"/>
      <c r="BB166" s="24"/>
      <c r="BC166" s="24"/>
      <c r="BD166" s="24"/>
      <c r="BE166" s="24"/>
      <c r="BF166" s="24"/>
      <c r="BG166" s="27"/>
    </row>
    <row r="167" spans="2:59" ht="7.7" customHeight="1" x14ac:dyDescent="0.15">
      <c r="B167" s="13"/>
      <c r="C167" s="28"/>
      <c r="D167" s="29"/>
      <c r="E167" s="29"/>
      <c r="F167" s="29"/>
      <c r="G167" s="29"/>
      <c r="H167" s="30"/>
      <c r="I167" s="46"/>
      <c r="J167" s="47"/>
      <c r="K167" s="48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52" t="s">
        <v>65</v>
      </c>
      <c r="BA167" s="53"/>
      <c r="BB167" s="53"/>
      <c r="BC167" s="53"/>
      <c r="BD167" s="53"/>
      <c r="BE167" s="53"/>
      <c r="BF167" s="53"/>
      <c r="BG167" s="54"/>
    </row>
    <row r="168" spans="2:59" ht="7.7" customHeight="1" x14ac:dyDescent="0.15">
      <c r="B168" s="13"/>
      <c r="C168" s="28"/>
      <c r="D168" s="29"/>
      <c r="E168" s="29"/>
      <c r="F168" s="29"/>
      <c r="G168" s="29"/>
      <c r="H168" s="30"/>
      <c r="I168" s="46"/>
      <c r="J168" s="47"/>
      <c r="K168" s="48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55"/>
      <c r="BA168" s="56"/>
      <c r="BB168" s="56"/>
      <c r="BC168" s="56"/>
      <c r="BD168" s="56"/>
      <c r="BE168" s="56"/>
      <c r="BF168" s="56"/>
      <c r="BG168" s="57"/>
    </row>
    <row r="169" spans="2:59" ht="7.7" customHeight="1" x14ac:dyDescent="0.15">
      <c r="B169" s="13"/>
      <c r="C169" s="28"/>
      <c r="D169" s="29"/>
      <c r="E169" s="29"/>
      <c r="F169" s="29"/>
      <c r="G169" s="29"/>
      <c r="H169" s="30"/>
      <c r="I169" s="46"/>
      <c r="J169" s="47"/>
      <c r="K169" s="48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55" t="s">
        <v>64</v>
      </c>
      <c r="BA169" s="56"/>
      <c r="BB169" s="56"/>
      <c r="BC169" s="56"/>
      <c r="BD169" s="56"/>
      <c r="BE169" s="56"/>
      <c r="BF169" s="56"/>
      <c r="BG169" s="57"/>
    </row>
    <row r="170" spans="2:59" ht="7.7" customHeight="1" thickBot="1" x14ac:dyDescent="0.2">
      <c r="B170" s="14"/>
      <c r="C170" s="43"/>
      <c r="D170" s="44"/>
      <c r="E170" s="44"/>
      <c r="F170" s="44"/>
      <c r="G170" s="44"/>
      <c r="H170" s="45"/>
      <c r="I170" s="49"/>
      <c r="J170" s="50"/>
      <c r="K170" s="51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58"/>
      <c r="BA170" s="59"/>
      <c r="BB170" s="59"/>
      <c r="BC170" s="59"/>
      <c r="BD170" s="59"/>
      <c r="BE170" s="59"/>
      <c r="BF170" s="59"/>
      <c r="BG170" s="60"/>
    </row>
    <row r="171" spans="2:59" ht="7.7" customHeight="1" x14ac:dyDescent="0.15">
      <c r="B171" s="105" t="s">
        <v>24</v>
      </c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7"/>
      <c r="AP171" s="111" t="s">
        <v>5</v>
      </c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06"/>
      <c r="BC171" s="106"/>
      <c r="BD171" s="106"/>
      <c r="BE171" s="106"/>
      <c r="BF171" s="106"/>
      <c r="BG171" s="112"/>
    </row>
    <row r="172" spans="2:59" ht="7.7" customHeight="1" x14ac:dyDescent="0.15">
      <c r="B172" s="108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  <c r="AO172" s="110"/>
      <c r="AP172" s="113"/>
      <c r="AQ172" s="109"/>
      <c r="AR172" s="109"/>
      <c r="AS172" s="109"/>
      <c r="AT172" s="109"/>
      <c r="AU172" s="109"/>
      <c r="AV172" s="109"/>
      <c r="AW172" s="109"/>
      <c r="AX172" s="109"/>
      <c r="AY172" s="109"/>
      <c r="AZ172" s="109"/>
      <c r="BA172" s="109"/>
      <c r="BB172" s="109"/>
      <c r="BC172" s="109"/>
      <c r="BD172" s="109"/>
      <c r="BE172" s="109"/>
      <c r="BF172" s="109"/>
      <c r="BG172" s="114"/>
    </row>
    <row r="173" spans="2:59" ht="7.7" customHeight="1" x14ac:dyDescent="0.15">
      <c r="B173" s="90" t="s">
        <v>63</v>
      </c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2"/>
      <c r="AP173" s="99" t="s">
        <v>48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100"/>
    </row>
    <row r="174" spans="2:59" ht="7.7" customHeight="1" x14ac:dyDescent="0.15">
      <c r="B174" s="93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5"/>
      <c r="AP174" s="101"/>
      <c r="AQ174" s="94"/>
      <c r="AR174" s="94"/>
      <c r="AS174" s="94"/>
      <c r="AT174" s="94"/>
      <c r="AU174" s="94"/>
      <c r="AV174" s="94"/>
      <c r="AW174" s="94"/>
      <c r="AX174" s="94"/>
      <c r="AY174" s="94"/>
      <c r="AZ174" s="94"/>
      <c r="BA174" s="94"/>
      <c r="BB174" s="94"/>
      <c r="BC174" s="94"/>
      <c r="BD174" s="94"/>
      <c r="BE174" s="94"/>
      <c r="BF174" s="94"/>
      <c r="BG174" s="102"/>
    </row>
    <row r="175" spans="2:59" ht="7.7" customHeight="1" x14ac:dyDescent="0.15">
      <c r="B175" s="93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5"/>
      <c r="AP175" s="101"/>
      <c r="AQ175" s="94"/>
      <c r="AR175" s="94"/>
      <c r="AS175" s="94"/>
      <c r="AT175" s="94"/>
      <c r="AU175" s="94"/>
      <c r="AV175" s="94"/>
      <c r="AW175" s="94"/>
      <c r="AX175" s="94"/>
      <c r="AY175" s="94"/>
      <c r="AZ175" s="94"/>
      <c r="BA175" s="94"/>
      <c r="BB175" s="94"/>
      <c r="BC175" s="94"/>
      <c r="BD175" s="94"/>
      <c r="BE175" s="94"/>
      <c r="BF175" s="94"/>
      <c r="BG175" s="102"/>
    </row>
    <row r="176" spans="2:59" ht="7.7" customHeight="1" x14ac:dyDescent="0.15">
      <c r="B176" s="93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5"/>
      <c r="AP176" s="101"/>
      <c r="AQ176" s="94"/>
      <c r="AR176" s="94"/>
      <c r="AS176" s="94"/>
      <c r="AT176" s="94"/>
      <c r="AU176" s="94"/>
      <c r="AV176" s="94"/>
      <c r="AW176" s="94"/>
      <c r="AX176" s="94"/>
      <c r="AY176" s="94"/>
      <c r="AZ176" s="94"/>
      <c r="BA176" s="94"/>
      <c r="BB176" s="94"/>
      <c r="BC176" s="94"/>
      <c r="BD176" s="94"/>
      <c r="BE176" s="94"/>
      <c r="BF176" s="94"/>
      <c r="BG176" s="102"/>
    </row>
    <row r="177" spans="2:59" ht="7.7" customHeight="1" x14ac:dyDescent="0.15">
      <c r="B177" s="93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5"/>
      <c r="AP177" s="101"/>
      <c r="AQ177" s="94"/>
      <c r="AR177" s="94"/>
      <c r="AS177" s="94"/>
      <c r="AT177" s="94"/>
      <c r="AU177" s="94"/>
      <c r="AV177" s="94"/>
      <c r="AW177" s="94"/>
      <c r="AX177" s="94"/>
      <c r="AY177" s="94"/>
      <c r="AZ177" s="94"/>
      <c r="BA177" s="94"/>
      <c r="BB177" s="94"/>
      <c r="BC177" s="94"/>
      <c r="BD177" s="94"/>
      <c r="BE177" s="94"/>
      <c r="BF177" s="94"/>
      <c r="BG177" s="102"/>
    </row>
    <row r="178" spans="2:59" ht="7.7" customHeight="1" x14ac:dyDescent="0.15">
      <c r="B178" s="93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5"/>
      <c r="AP178" s="101"/>
      <c r="AQ178" s="94"/>
      <c r="AR178" s="94"/>
      <c r="AS178" s="94"/>
      <c r="AT178" s="94"/>
      <c r="AU178" s="94"/>
      <c r="AV178" s="94"/>
      <c r="AW178" s="94"/>
      <c r="AX178" s="94"/>
      <c r="AY178" s="94"/>
      <c r="AZ178" s="94"/>
      <c r="BA178" s="94"/>
      <c r="BB178" s="94"/>
      <c r="BC178" s="94"/>
      <c r="BD178" s="94"/>
      <c r="BE178" s="94"/>
      <c r="BF178" s="94"/>
      <c r="BG178" s="102"/>
    </row>
    <row r="179" spans="2:59" ht="7.7" customHeight="1" x14ac:dyDescent="0.15">
      <c r="B179" s="93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5"/>
      <c r="AP179" s="101"/>
      <c r="AQ179" s="94"/>
      <c r="AR179" s="94"/>
      <c r="AS179" s="94"/>
      <c r="AT179" s="94"/>
      <c r="AU179" s="94"/>
      <c r="AV179" s="94"/>
      <c r="AW179" s="94"/>
      <c r="AX179" s="94"/>
      <c r="AY179" s="94"/>
      <c r="AZ179" s="94"/>
      <c r="BA179" s="94"/>
      <c r="BB179" s="94"/>
      <c r="BC179" s="94"/>
      <c r="BD179" s="94"/>
      <c r="BE179" s="94"/>
      <c r="BF179" s="94"/>
      <c r="BG179" s="102"/>
    </row>
    <row r="180" spans="2:59" ht="7.7" customHeight="1" x14ac:dyDescent="0.15">
      <c r="B180" s="93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5"/>
      <c r="AP180" s="101"/>
      <c r="AQ180" s="94"/>
      <c r="AR180" s="94"/>
      <c r="AS180" s="94"/>
      <c r="AT180" s="94"/>
      <c r="AU180" s="94"/>
      <c r="AV180" s="94"/>
      <c r="AW180" s="94"/>
      <c r="AX180" s="94"/>
      <c r="AY180" s="94"/>
      <c r="AZ180" s="94"/>
      <c r="BA180" s="94"/>
      <c r="BB180" s="94"/>
      <c r="BC180" s="94"/>
      <c r="BD180" s="94"/>
      <c r="BE180" s="94"/>
      <c r="BF180" s="94"/>
      <c r="BG180" s="102"/>
    </row>
    <row r="181" spans="2:59" ht="7.7" customHeight="1" x14ac:dyDescent="0.15">
      <c r="B181" s="93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5"/>
      <c r="AP181" s="101"/>
      <c r="AQ181" s="94"/>
      <c r="AR181" s="94"/>
      <c r="AS181" s="94"/>
      <c r="AT181" s="94"/>
      <c r="AU181" s="94"/>
      <c r="AV181" s="94"/>
      <c r="AW181" s="94"/>
      <c r="AX181" s="94"/>
      <c r="AY181" s="94"/>
      <c r="AZ181" s="94"/>
      <c r="BA181" s="94"/>
      <c r="BB181" s="94"/>
      <c r="BC181" s="94"/>
      <c r="BD181" s="94"/>
      <c r="BE181" s="94"/>
      <c r="BF181" s="94"/>
      <c r="BG181" s="102"/>
    </row>
    <row r="182" spans="2:59" ht="7.7" customHeight="1" thickBot="1" x14ac:dyDescent="0.2">
      <c r="B182" s="96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8"/>
      <c r="AP182" s="103"/>
      <c r="AQ182" s="97"/>
      <c r="AR182" s="97"/>
      <c r="AS182" s="97"/>
      <c r="AT182" s="97"/>
      <c r="AU182" s="97"/>
      <c r="AV182" s="97"/>
      <c r="AW182" s="97"/>
      <c r="AX182" s="97"/>
      <c r="AY182" s="97"/>
      <c r="AZ182" s="97"/>
      <c r="BA182" s="97"/>
      <c r="BB182" s="97"/>
      <c r="BC182" s="97"/>
      <c r="BD182" s="97"/>
      <c r="BE182" s="97"/>
      <c r="BF182" s="97"/>
      <c r="BG182" s="104"/>
    </row>
    <row r="183" spans="2:59" ht="7.7" customHeight="1" x14ac:dyDescent="0.15"/>
    <row r="184" spans="2:59" ht="7.5" customHeight="1" x14ac:dyDescent="0.15"/>
    <row r="185" spans="2:59" ht="7.5" customHeight="1" x14ac:dyDescent="0.15"/>
    <row r="186" spans="2:59" ht="7.5" customHeight="1" x14ac:dyDescent="0.15"/>
    <row r="187" spans="2:59" ht="7.5" customHeight="1" x14ac:dyDescent="0.15"/>
    <row r="188" spans="2:59" ht="7.5" customHeight="1" x14ac:dyDescent="0.15"/>
    <row r="189" spans="2:59" ht="7.5" customHeight="1" x14ac:dyDescent="0.15"/>
    <row r="190" spans="2:59" ht="7.5" customHeight="1" x14ac:dyDescent="0.15"/>
    <row r="191" spans="2:59" ht="7.5" customHeight="1" x14ac:dyDescent="0.15"/>
    <row r="192" spans="2:59" ht="7.5" customHeight="1" x14ac:dyDescent="0.15"/>
    <row r="193" ht="7.5" customHeight="1" x14ac:dyDescent="0.15"/>
    <row r="194" ht="7.5" customHeight="1" x14ac:dyDescent="0.15"/>
  </sheetData>
  <sheetProtection formatCells="0" insertHyperlinks="0" selectLockedCells="1"/>
  <mergeCells count="366">
    <mergeCell ref="B39:B50"/>
    <mergeCell ref="B51:B62"/>
    <mergeCell ref="B63:B74"/>
    <mergeCell ref="B75:B86"/>
    <mergeCell ref="B87:B98"/>
    <mergeCell ref="B99:B110"/>
    <mergeCell ref="BE113:BE118"/>
    <mergeCell ref="BF113:BF118"/>
    <mergeCell ref="BG113:BG118"/>
    <mergeCell ref="B111:B122"/>
    <mergeCell ref="C111:H115"/>
    <mergeCell ref="I111:K117"/>
    <mergeCell ref="L111:AE122"/>
    <mergeCell ref="AF111:AO122"/>
    <mergeCell ref="AP111:AY122"/>
    <mergeCell ref="AZ111:AZ112"/>
    <mergeCell ref="BA111:BA112"/>
    <mergeCell ref="BB111:BB112"/>
    <mergeCell ref="C116:H117"/>
    <mergeCell ref="C118:H122"/>
    <mergeCell ref="I118:K122"/>
    <mergeCell ref="AZ119:BG120"/>
    <mergeCell ref="AZ121:BG122"/>
    <mergeCell ref="BC111:BC112"/>
    <mergeCell ref="BD111:BD112"/>
    <mergeCell ref="BE111:BE112"/>
    <mergeCell ref="BF111:BF112"/>
    <mergeCell ref="BG111:BG112"/>
    <mergeCell ref="AZ113:AZ118"/>
    <mergeCell ref="BA113:BA118"/>
    <mergeCell ref="BB113:BB118"/>
    <mergeCell ref="BC113:BC118"/>
    <mergeCell ref="BD113:BD118"/>
    <mergeCell ref="C87:H91"/>
    <mergeCell ref="I87:K93"/>
    <mergeCell ref="L87:AE98"/>
    <mergeCell ref="AF87:AO98"/>
    <mergeCell ref="AP87:AY98"/>
    <mergeCell ref="AZ87:AZ88"/>
    <mergeCell ref="BA87:BA88"/>
    <mergeCell ref="BB87:BB88"/>
    <mergeCell ref="C92:H93"/>
    <mergeCell ref="C94:H98"/>
    <mergeCell ref="I94:K98"/>
    <mergeCell ref="AZ95:BG96"/>
    <mergeCell ref="AZ97:BG98"/>
    <mergeCell ref="BC87:BC88"/>
    <mergeCell ref="BD87:BD88"/>
    <mergeCell ref="BE87:BE88"/>
    <mergeCell ref="BF87:BF88"/>
    <mergeCell ref="BG87:BG88"/>
    <mergeCell ref="AZ89:AZ94"/>
    <mergeCell ref="BA89:BA94"/>
    <mergeCell ref="BB89:BB94"/>
    <mergeCell ref="BC99:BC100"/>
    <mergeCell ref="BD99:BD100"/>
    <mergeCell ref="BE99:BE100"/>
    <mergeCell ref="BF99:BF100"/>
    <mergeCell ref="BG99:BG100"/>
    <mergeCell ref="AZ101:AZ106"/>
    <mergeCell ref="BA101:BA106"/>
    <mergeCell ref="BB101:BB106"/>
    <mergeCell ref="BC101:BC106"/>
    <mergeCell ref="BD101:BD106"/>
    <mergeCell ref="BE101:BE106"/>
    <mergeCell ref="BF101:BF106"/>
    <mergeCell ref="BG101:BG106"/>
    <mergeCell ref="C99:H103"/>
    <mergeCell ref="I99:K105"/>
    <mergeCell ref="L99:AE110"/>
    <mergeCell ref="AF99:AO110"/>
    <mergeCell ref="AP99:AY110"/>
    <mergeCell ref="AZ99:AZ100"/>
    <mergeCell ref="BA99:BA100"/>
    <mergeCell ref="C104:H105"/>
    <mergeCell ref="C106:H110"/>
    <mergeCell ref="I106:K110"/>
    <mergeCell ref="BA77:BA82"/>
    <mergeCell ref="BB77:BB82"/>
    <mergeCell ref="BC77:BC82"/>
    <mergeCell ref="BD77:BD82"/>
    <mergeCell ref="BE77:BE82"/>
    <mergeCell ref="BF77:BF82"/>
    <mergeCell ref="BG77:BG82"/>
    <mergeCell ref="BF89:BF94"/>
    <mergeCell ref="BG89:BG94"/>
    <mergeCell ref="BC89:BC94"/>
    <mergeCell ref="BD89:BD94"/>
    <mergeCell ref="BE89:BE94"/>
    <mergeCell ref="C63:H67"/>
    <mergeCell ref="I63:K69"/>
    <mergeCell ref="L63:AE74"/>
    <mergeCell ref="AF63:AO74"/>
    <mergeCell ref="AP63:AY74"/>
    <mergeCell ref="C68:H69"/>
    <mergeCell ref="C70:H74"/>
    <mergeCell ref="I70:K74"/>
    <mergeCell ref="BB99:BB100"/>
    <mergeCell ref="C75:H79"/>
    <mergeCell ref="I75:K81"/>
    <mergeCell ref="L75:AE86"/>
    <mergeCell ref="AF75:AO86"/>
    <mergeCell ref="AP75:AY86"/>
    <mergeCell ref="AZ75:AZ76"/>
    <mergeCell ref="BA75:BA76"/>
    <mergeCell ref="BB75:BB76"/>
    <mergeCell ref="C80:H81"/>
    <mergeCell ref="C82:H86"/>
    <mergeCell ref="I82:K86"/>
    <mergeCell ref="AZ83:BG84"/>
    <mergeCell ref="AZ85:BG86"/>
    <mergeCell ref="AZ73:BG74"/>
    <mergeCell ref="BF63:BF64"/>
    <mergeCell ref="BG63:BG64"/>
    <mergeCell ref="AZ65:AZ70"/>
    <mergeCell ref="BA65:BA70"/>
    <mergeCell ref="BB65:BB70"/>
    <mergeCell ref="BC65:BC70"/>
    <mergeCell ref="BD65:BD70"/>
    <mergeCell ref="BE65:BE70"/>
    <mergeCell ref="BF65:BF70"/>
    <mergeCell ref="BG65:BG70"/>
    <mergeCell ref="AZ63:AZ64"/>
    <mergeCell ref="BA63:BA64"/>
    <mergeCell ref="BB63:BB64"/>
    <mergeCell ref="BC63:BC64"/>
    <mergeCell ref="BD63:BD64"/>
    <mergeCell ref="BE63:BE64"/>
    <mergeCell ref="AZ71:BG72"/>
    <mergeCell ref="AZ143:BG144"/>
    <mergeCell ref="AZ145:BG146"/>
    <mergeCell ref="BF135:BF136"/>
    <mergeCell ref="BG135:BG136"/>
    <mergeCell ref="AZ137:AZ142"/>
    <mergeCell ref="BA137:BA142"/>
    <mergeCell ref="BB137:BB142"/>
    <mergeCell ref="BC137:BC142"/>
    <mergeCell ref="BD137:BD142"/>
    <mergeCell ref="BE137:BE142"/>
    <mergeCell ref="BA135:BA136"/>
    <mergeCell ref="BB135:BB136"/>
    <mergeCell ref="BC135:BC136"/>
    <mergeCell ref="BD135:BD136"/>
    <mergeCell ref="BE135:BE136"/>
    <mergeCell ref="AZ107:BG108"/>
    <mergeCell ref="AZ109:BG110"/>
    <mergeCell ref="BC75:BC76"/>
    <mergeCell ref="BD75:BD76"/>
    <mergeCell ref="BE75:BE76"/>
    <mergeCell ref="BF75:BF76"/>
    <mergeCell ref="BG75:BG76"/>
    <mergeCell ref="AZ77:AZ82"/>
    <mergeCell ref="B21:B26"/>
    <mergeCell ref="AM2:AO5"/>
    <mergeCell ref="L2:AL5"/>
    <mergeCell ref="AK6:BG7"/>
    <mergeCell ref="BA27:BA28"/>
    <mergeCell ref="BB27:BB28"/>
    <mergeCell ref="V15:AG17"/>
    <mergeCell ref="S15:U17"/>
    <mergeCell ref="F8:Z10"/>
    <mergeCell ref="AP2:BG5"/>
    <mergeCell ref="AK8:BG17"/>
    <mergeCell ref="AK18:AO20"/>
    <mergeCell ref="BC27:BC28"/>
    <mergeCell ref="AZ23:BG24"/>
    <mergeCell ref="BG27:BG28"/>
    <mergeCell ref="AF27:AO38"/>
    <mergeCell ref="AP27:AY38"/>
    <mergeCell ref="AP21:AY26"/>
    <mergeCell ref="BF29:BF34"/>
    <mergeCell ref="AZ35:BG36"/>
    <mergeCell ref="AF8:AJ10"/>
    <mergeCell ref="B18:E20"/>
    <mergeCell ref="B3:C4"/>
    <mergeCell ref="B11:E14"/>
    <mergeCell ref="B15:E17"/>
    <mergeCell ref="D2:I4"/>
    <mergeCell ref="B6:E10"/>
    <mergeCell ref="F11:AJ14"/>
    <mergeCell ref="AE18:AJ20"/>
    <mergeCell ref="AH15:AJ17"/>
    <mergeCell ref="F6:Z7"/>
    <mergeCell ref="F18:AD20"/>
    <mergeCell ref="AF6:AJ7"/>
    <mergeCell ref="AA6:AE7"/>
    <mergeCell ref="AA8:AE10"/>
    <mergeCell ref="F15:R17"/>
    <mergeCell ref="AZ25:BG26"/>
    <mergeCell ref="BD27:BD28"/>
    <mergeCell ref="BF27:BF28"/>
    <mergeCell ref="BE29:BE34"/>
    <mergeCell ref="BG29:BG34"/>
    <mergeCell ref="BB29:BB34"/>
    <mergeCell ref="I21:K26"/>
    <mergeCell ref="C27:H31"/>
    <mergeCell ref="AZ21:BG22"/>
    <mergeCell ref="L21:AE26"/>
    <mergeCell ref="AF21:AO26"/>
    <mergeCell ref="AZ27:AZ28"/>
    <mergeCell ref="AZ29:AZ34"/>
    <mergeCell ref="L27:AE38"/>
    <mergeCell ref="C21:H26"/>
    <mergeCell ref="I27:K33"/>
    <mergeCell ref="I34:K38"/>
    <mergeCell ref="BE27:BE28"/>
    <mergeCell ref="B173:AO182"/>
    <mergeCell ref="AP173:BG182"/>
    <mergeCell ref="B171:AO172"/>
    <mergeCell ref="AP171:BG172"/>
    <mergeCell ref="BC29:BC34"/>
    <mergeCell ref="AZ37:BG38"/>
    <mergeCell ref="C34:H38"/>
    <mergeCell ref="C32:H33"/>
    <mergeCell ref="BA29:BA34"/>
    <mergeCell ref="BD29:BD34"/>
    <mergeCell ref="B135:B146"/>
    <mergeCell ref="C135:H139"/>
    <mergeCell ref="I135:K141"/>
    <mergeCell ref="L135:AE146"/>
    <mergeCell ref="AF135:AO146"/>
    <mergeCell ref="AP135:AY146"/>
    <mergeCell ref="C140:H141"/>
    <mergeCell ref="C142:H146"/>
    <mergeCell ref="I142:K146"/>
    <mergeCell ref="BF137:BF142"/>
    <mergeCell ref="BG137:BG142"/>
    <mergeCell ref="AZ135:AZ136"/>
    <mergeCell ref="BB39:BB40"/>
    <mergeCell ref="BC39:BC40"/>
    <mergeCell ref="C46:H50"/>
    <mergeCell ref="I46:K50"/>
    <mergeCell ref="AZ47:BG48"/>
    <mergeCell ref="AZ49:BG50"/>
    <mergeCell ref="AZ41:AZ46"/>
    <mergeCell ref="BA41:BA46"/>
    <mergeCell ref="BB41:BB46"/>
    <mergeCell ref="BC41:BC46"/>
    <mergeCell ref="BD41:BD46"/>
    <mergeCell ref="BE41:BE46"/>
    <mergeCell ref="B27:B38"/>
    <mergeCell ref="BE51:BE52"/>
    <mergeCell ref="BF41:BF46"/>
    <mergeCell ref="BG41:BG46"/>
    <mergeCell ref="C51:H55"/>
    <mergeCell ref="I51:K57"/>
    <mergeCell ref="L51:AE62"/>
    <mergeCell ref="AF51:AO62"/>
    <mergeCell ref="AP51:AY62"/>
    <mergeCell ref="C56:H57"/>
    <mergeCell ref="C58:H62"/>
    <mergeCell ref="I58:K62"/>
    <mergeCell ref="BD39:BD40"/>
    <mergeCell ref="BE39:BE40"/>
    <mergeCell ref="AZ39:AZ40"/>
    <mergeCell ref="BA39:BA40"/>
    <mergeCell ref="BF39:BF40"/>
    <mergeCell ref="BG39:BG40"/>
    <mergeCell ref="C39:H43"/>
    <mergeCell ref="I39:K45"/>
    <mergeCell ref="L39:AE50"/>
    <mergeCell ref="AF39:AO50"/>
    <mergeCell ref="AP39:AY50"/>
    <mergeCell ref="C44:H45"/>
    <mergeCell ref="BB125:BB130"/>
    <mergeCell ref="BC125:BC130"/>
    <mergeCell ref="BD125:BD130"/>
    <mergeCell ref="BH8:BH12"/>
    <mergeCell ref="BB18:BD20"/>
    <mergeCell ref="BE18:BG20"/>
    <mergeCell ref="AP18:BA20"/>
    <mergeCell ref="AZ59:BG60"/>
    <mergeCell ref="AZ61:BG62"/>
    <mergeCell ref="BF51:BF52"/>
    <mergeCell ref="BG51:BG52"/>
    <mergeCell ref="AZ53:AZ58"/>
    <mergeCell ref="BA53:BA58"/>
    <mergeCell ref="BB53:BB58"/>
    <mergeCell ref="BC53:BC58"/>
    <mergeCell ref="BD53:BD58"/>
    <mergeCell ref="BE53:BE58"/>
    <mergeCell ref="BF53:BF58"/>
    <mergeCell ref="BG53:BG58"/>
    <mergeCell ref="AZ51:AZ52"/>
    <mergeCell ref="BA51:BA52"/>
    <mergeCell ref="BB51:BB52"/>
    <mergeCell ref="BC51:BC52"/>
    <mergeCell ref="BD51:BD52"/>
    <mergeCell ref="BE125:BE130"/>
    <mergeCell ref="BF125:BF130"/>
    <mergeCell ref="BG125:BG130"/>
    <mergeCell ref="B123:B134"/>
    <mergeCell ref="C123:H127"/>
    <mergeCell ref="I123:K129"/>
    <mergeCell ref="L123:AE134"/>
    <mergeCell ref="AF123:AO134"/>
    <mergeCell ref="AP123:AY134"/>
    <mergeCell ref="AZ123:AZ124"/>
    <mergeCell ref="BA123:BA124"/>
    <mergeCell ref="BB123:BB124"/>
    <mergeCell ref="C128:H129"/>
    <mergeCell ref="C130:H134"/>
    <mergeCell ref="I130:K134"/>
    <mergeCell ref="AZ131:BG132"/>
    <mergeCell ref="AZ133:BG134"/>
    <mergeCell ref="BC123:BC124"/>
    <mergeCell ref="BD123:BD124"/>
    <mergeCell ref="BE123:BE124"/>
    <mergeCell ref="BF123:BF124"/>
    <mergeCell ref="BG123:BG124"/>
    <mergeCell ref="AZ125:AZ130"/>
    <mergeCell ref="BA125:BA130"/>
    <mergeCell ref="B159:B170"/>
    <mergeCell ref="C159:H163"/>
    <mergeCell ref="I159:K165"/>
    <mergeCell ref="L159:AE170"/>
    <mergeCell ref="AF159:AO170"/>
    <mergeCell ref="AP159:AY170"/>
    <mergeCell ref="AZ159:AZ160"/>
    <mergeCell ref="BA159:BA160"/>
    <mergeCell ref="BB159:BB160"/>
    <mergeCell ref="C164:H165"/>
    <mergeCell ref="C166:H170"/>
    <mergeCell ref="I166:K170"/>
    <mergeCell ref="AZ167:BG168"/>
    <mergeCell ref="AZ169:BG170"/>
    <mergeCell ref="I154:K158"/>
    <mergeCell ref="AZ155:BG156"/>
    <mergeCell ref="AZ157:BG158"/>
    <mergeCell ref="BC159:BC160"/>
    <mergeCell ref="BD159:BD160"/>
    <mergeCell ref="BE159:BE160"/>
    <mergeCell ref="BF159:BF160"/>
    <mergeCell ref="BG159:BG160"/>
    <mergeCell ref="AZ161:AZ166"/>
    <mergeCell ref="BA161:BA166"/>
    <mergeCell ref="BB161:BB166"/>
    <mergeCell ref="BC161:BC166"/>
    <mergeCell ref="BD161:BD166"/>
    <mergeCell ref="BE161:BE166"/>
    <mergeCell ref="BF161:BF166"/>
    <mergeCell ref="BG161:BG166"/>
    <mergeCell ref="B147:B158"/>
    <mergeCell ref="BD147:BD148"/>
    <mergeCell ref="BE147:BE148"/>
    <mergeCell ref="BF147:BF148"/>
    <mergeCell ref="BG147:BG148"/>
    <mergeCell ref="AZ149:AZ154"/>
    <mergeCell ref="BA149:BA154"/>
    <mergeCell ref="BB149:BB154"/>
    <mergeCell ref="BC149:BC154"/>
    <mergeCell ref="BD149:BD154"/>
    <mergeCell ref="BE149:BE154"/>
    <mergeCell ref="BF149:BF154"/>
    <mergeCell ref="BG149:BG154"/>
    <mergeCell ref="C147:H151"/>
    <mergeCell ref="I147:K153"/>
    <mergeCell ref="L147:AE158"/>
    <mergeCell ref="AF147:AO158"/>
    <mergeCell ref="AP147:AY158"/>
    <mergeCell ref="AZ147:AZ148"/>
    <mergeCell ref="BA147:BA148"/>
    <mergeCell ref="BB147:BB148"/>
    <mergeCell ref="BC147:BC148"/>
    <mergeCell ref="C152:H153"/>
    <mergeCell ref="C154:H158"/>
  </mergeCells>
  <phoneticPr fontId="1"/>
  <conditionalFormatting sqref="AZ29:BG34">
    <cfRule type="expression" dxfId="11" priority="11" stopIfTrue="1">
      <formula>AZ27="●"</formula>
    </cfRule>
  </conditionalFormatting>
  <conditionalFormatting sqref="AZ41:BG46">
    <cfRule type="expression" dxfId="10" priority="12" stopIfTrue="1">
      <formula>AZ39="●"</formula>
    </cfRule>
  </conditionalFormatting>
  <conditionalFormatting sqref="AZ53:BG58">
    <cfRule type="expression" dxfId="9" priority="14" stopIfTrue="1">
      <formula>AZ51="●"</formula>
    </cfRule>
  </conditionalFormatting>
  <conditionalFormatting sqref="AZ65:BG70">
    <cfRule type="expression" dxfId="8" priority="10" stopIfTrue="1">
      <formula>AZ63="●"</formula>
    </cfRule>
  </conditionalFormatting>
  <conditionalFormatting sqref="AZ77:BG82">
    <cfRule type="expression" dxfId="7" priority="8" stopIfTrue="1">
      <formula>AZ75="●"</formula>
    </cfRule>
  </conditionalFormatting>
  <conditionalFormatting sqref="AZ89:BG94">
    <cfRule type="expression" dxfId="6" priority="6" stopIfTrue="1">
      <formula>AZ87="●"</formula>
    </cfRule>
  </conditionalFormatting>
  <conditionalFormatting sqref="AZ101:BG106">
    <cfRule type="expression" dxfId="5" priority="7" stopIfTrue="1">
      <formula>AZ99="●"</formula>
    </cfRule>
  </conditionalFormatting>
  <conditionalFormatting sqref="AZ113:BG118">
    <cfRule type="expression" dxfId="4" priority="5" stopIfTrue="1">
      <formula>AZ111="●"</formula>
    </cfRule>
  </conditionalFormatting>
  <conditionalFormatting sqref="AZ125:BG130">
    <cfRule type="expression" dxfId="3" priority="4" stopIfTrue="1">
      <formula>AZ123="●"</formula>
    </cfRule>
  </conditionalFormatting>
  <conditionalFormatting sqref="AZ137:BG142">
    <cfRule type="expression" dxfId="2" priority="3" stopIfTrue="1">
      <formula>AZ135="●"</formula>
    </cfRule>
  </conditionalFormatting>
  <conditionalFormatting sqref="AZ149:BG154">
    <cfRule type="expression" dxfId="1" priority="1" stopIfTrue="1">
      <formula>AZ147="●"</formula>
    </cfRule>
  </conditionalFormatting>
  <conditionalFormatting sqref="AZ161:BG166">
    <cfRule type="expression" dxfId="0" priority="2" stopIfTrue="1">
      <formula>AZ159="●"</formula>
    </cfRule>
  </conditionalFormatting>
  <dataValidations count="6">
    <dataValidation type="list" allowBlank="1" showInputMessage="1" showErrorMessage="1" sqref="AA8" xr:uid="{00000000-0002-0000-0000-000000000000}">
      <formula1>"男性,女性"</formula1>
    </dataValidation>
    <dataValidation imeMode="halfKatakana" allowBlank="1" showInputMessage="1" showErrorMessage="1" sqref="F6" xr:uid="{00000000-0002-0000-0000-000001000000}"/>
    <dataValidation type="list" allowBlank="1" showInputMessage="1" showErrorMessage="1" sqref="AE18:AJ20" xr:uid="{00000000-0002-0000-0000-000002000000}">
      <formula1>"卒業,中退,卒業見込"</formula1>
    </dataValidation>
    <dataValidation type="list" allowBlank="1" showInputMessage="1" showErrorMessage="1" sqref="AZ27:BG27 AZ63:BG63 AZ39:BG39 AZ51:BG51 AZ123:BG123 AZ75:BG75 AZ99:BG99 AZ87:BG87 AZ111:BG111 AZ135:BG135 AZ159:BG159 AZ147:BG147" xr:uid="{00000000-0002-0000-0000-000003000000}">
      <formula1>"●"</formula1>
    </dataValidation>
    <dataValidation type="list" allowBlank="1" showInputMessage="1" sqref="AZ35:BG36 AZ47:BG48 AZ59:BG60 AZ71:BG72 AZ131:BG132 AZ83:BG84 AZ107:BG108 AZ95:BG96 AZ119:BG120 AZ143:BG144 AZ167:BG168 AZ155:BG156" xr:uid="{00000000-0002-0000-0000-000004000000}">
      <formula1>"メンバー,PG,SE,TL,PL, PM,PMO"</formula1>
    </dataValidation>
    <dataValidation imeMode="halfAlpha" allowBlank="1" showInputMessage="1" showErrorMessage="1" sqref="C27:H170" xr:uid="{00000000-0002-0000-0000-000005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portrait" horizontalDpi="300" verticalDpi="300" r:id="rId1"/>
  <headerFooter alignWithMargins="0">
    <oddHeader>&amp;R&amp;12&amp;P/&amp;N</oddHeader>
  </headerFooter>
  <rowBreaks count="1" manualBreakCount="1">
    <brk id="98" max="59" man="1"/>
  </rowBreaks>
  <ignoredErrors>
    <ignoredError sqref="AF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CareerSheet</vt:lpstr>
      <vt:lpstr>CareerSheet!Print_Area</vt:lpstr>
      <vt:lpstr>CareerSheet!Print_Titles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3030080</dc:creator>
  <cp:lastModifiedBy>30312-08</cp:lastModifiedBy>
  <cp:lastPrinted>2025-11-20T06:45:17Z</cp:lastPrinted>
  <dcterms:created xsi:type="dcterms:W3CDTF">2012-01-19T00:43:24Z</dcterms:created>
  <dcterms:modified xsi:type="dcterms:W3CDTF">2025-12-19T02:52:07Z</dcterms:modified>
</cp:coreProperties>
</file>